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f11483287a0e4dbc/Documents/DATA ANALYSIS PROJECTS/Commercial Aircraft/"/>
    </mc:Choice>
  </mc:AlternateContent>
  <xr:revisionPtr revIDLastSave="6" documentId="8_{50792DF3-9CB3-4D82-8F2F-B28EC6897DCB}" xr6:coauthVersionLast="47" xr6:coauthVersionMax="47" xr10:uidLastSave="{A76882A3-136A-48ED-9A83-B043BF6F2769}"/>
  <bookViews>
    <workbookView xWindow="-108" yWindow="-108" windowWidth="23256" windowHeight="12456" firstSheet="3" activeTab="3" xr2:uid="{FFA367FF-4CB5-4C34-8643-2667546793B7}"/>
  </bookViews>
  <sheets>
    <sheet name="RAW_DATA" sheetId="1" state="hidden" r:id="rId1"/>
    <sheet name="Fleet_Inventory" sheetId="4" state="hidden" r:id="rId2"/>
    <sheet name="Calc" sheetId="5" state="hidden" r:id="rId3"/>
    <sheet name="Dashboard" sheetId="6" r:id="rId4"/>
  </sheets>
  <definedNames>
    <definedName name="_xlnm._FilterDatabase" localSheetId="1" hidden="1">Fleet_Inventory!$A$1:$I$51</definedName>
    <definedName name="Slicer_Aircraft_Model">#N/A</definedName>
    <definedName name="Slicer_Airline">#N/A</definedName>
    <definedName name="Slicer_Readiness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K2" i="4"/>
  <c r="J2"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K51"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J4" i="4"/>
  <c r="J5" i="4"/>
  <c r="J6" i="4"/>
  <c r="J7" i="4"/>
  <c r="J8" i="4"/>
  <c r="L8" i="4" s="1"/>
  <c r="J9" i="4"/>
  <c r="J10" i="4"/>
  <c r="J11" i="4"/>
  <c r="J12" i="4"/>
  <c r="L12" i="4" s="1"/>
  <c r="N12" i="4" s="1" a="1"/>
  <c r="N12" i="4" s="1"/>
  <c r="P12" i="4" s="1"/>
  <c r="J13" i="4"/>
  <c r="J14" i="4"/>
  <c r="L14" i="4" s="1"/>
  <c r="N14" i="4" s="1" a="1"/>
  <c r="N14" i="4" s="1"/>
  <c r="P14" i="4" s="1"/>
  <c r="J15" i="4"/>
  <c r="L15" i="4" s="1"/>
  <c r="N15" i="4" s="1" a="1"/>
  <c r="N15" i="4" s="1"/>
  <c r="P15" i="4" s="1"/>
  <c r="J16" i="4"/>
  <c r="L16" i="4" s="1"/>
  <c r="N16" i="4" s="1" a="1"/>
  <c r="N16" i="4" s="1"/>
  <c r="P16" i="4" s="1"/>
  <c r="J17" i="4"/>
  <c r="J18" i="4"/>
  <c r="J19" i="4"/>
  <c r="L19" i="4" s="1"/>
  <c r="N19" i="4" s="1" a="1"/>
  <c r="N19" i="4" s="1"/>
  <c r="P19" i="4" s="1"/>
  <c r="J20" i="4"/>
  <c r="L20" i="4" s="1"/>
  <c r="N20" i="4" s="1" a="1"/>
  <c r="N20" i="4" s="1"/>
  <c r="P20" i="4" s="1"/>
  <c r="J21" i="4"/>
  <c r="J22" i="4"/>
  <c r="L22" i="4" s="1"/>
  <c r="N22" i="4" s="1" a="1"/>
  <c r="N22" i="4" s="1"/>
  <c r="P22" i="4" s="1"/>
  <c r="J23" i="4"/>
  <c r="J24" i="4"/>
  <c r="L24" i="4" s="1"/>
  <c r="N24" i="4" s="1" a="1"/>
  <c r="N24" i="4" s="1"/>
  <c r="P24" i="4" s="1"/>
  <c r="J25" i="4"/>
  <c r="L25" i="4" s="1"/>
  <c r="N25" i="4" s="1" a="1"/>
  <c r="N25" i="4" s="1"/>
  <c r="P25" i="4" s="1"/>
  <c r="J26" i="4"/>
  <c r="L26" i="4" s="1"/>
  <c r="N26" i="4" s="1" a="1"/>
  <c r="N26" i="4" s="1"/>
  <c r="P26" i="4" s="1"/>
  <c r="J27" i="4"/>
  <c r="L27" i="4" s="1"/>
  <c r="N27" i="4" s="1" a="1"/>
  <c r="N27" i="4" s="1"/>
  <c r="P27" i="4" s="1"/>
  <c r="J28" i="4"/>
  <c r="L28" i="4" s="1"/>
  <c r="N28" i="4" s="1" a="1"/>
  <c r="N28" i="4" s="1"/>
  <c r="P28" i="4" s="1"/>
  <c r="J29" i="4"/>
  <c r="J30" i="4"/>
  <c r="L30" i="4" s="1"/>
  <c r="N30" i="4" s="1" a="1"/>
  <c r="N30" i="4" s="1"/>
  <c r="P30" i="4" s="1"/>
  <c r="J31" i="4"/>
  <c r="J32" i="4"/>
  <c r="J33" i="4"/>
  <c r="J34" i="4"/>
  <c r="L34" i="4" s="1"/>
  <c r="N34" i="4" s="1" a="1"/>
  <c r="N34" i="4" s="1"/>
  <c r="P34" i="4" s="1"/>
  <c r="J35" i="4"/>
  <c r="L35" i="4" s="1"/>
  <c r="N35" i="4" s="1" a="1"/>
  <c r="N35" i="4" s="1"/>
  <c r="P35" i="4" s="1"/>
  <c r="J36" i="4"/>
  <c r="L36" i="4" s="1"/>
  <c r="N36" i="4" s="1" a="1"/>
  <c r="N36" i="4" s="1"/>
  <c r="P36" i="4" s="1"/>
  <c r="J37" i="4"/>
  <c r="L37" i="4" s="1"/>
  <c r="N37" i="4" s="1" a="1"/>
  <c r="N37" i="4" s="1"/>
  <c r="P37" i="4" s="1"/>
  <c r="J38" i="4"/>
  <c r="L38" i="4" s="1"/>
  <c r="N38" i="4" s="1" a="1"/>
  <c r="N38" i="4" s="1"/>
  <c r="P38" i="4" s="1"/>
  <c r="J39" i="4"/>
  <c r="L39" i="4" s="1"/>
  <c r="N39" i="4" s="1" a="1"/>
  <c r="N39" i="4" s="1"/>
  <c r="P39" i="4" s="1"/>
  <c r="J40" i="4"/>
  <c r="L40" i="4" s="1"/>
  <c r="N40" i="4" s="1" a="1"/>
  <c r="N40" i="4" s="1"/>
  <c r="P40" i="4" s="1"/>
  <c r="J41" i="4"/>
  <c r="L41" i="4" s="1"/>
  <c r="N41" i="4" s="1" a="1"/>
  <c r="N41" i="4" s="1"/>
  <c r="P41" i="4" s="1"/>
  <c r="J42" i="4"/>
  <c r="J43" i="4"/>
  <c r="L43" i="4" s="1"/>
  <c r="N43" i="4" s="1" a="1"/>
  <c r="N43" i="4" s="1"/>
  <c r="P43" i="4" s="1"/>
  <c r="J44" i="4"/>
  <c r="L44" i="4" s="1"/>
  <c r="N44" i="4" s="1" a="1"/>
  <c r="N44" i="4" s="1"/>
  <c r="P44" i="4" s="1"/>
  <c r="J45" i="4"/>
  <c r="J46" i="4"/>
  <c r="L46" i="4" s="1"/>
  <c r="N46" i="4" s="1" a="1"/>
  <c r="N46" i="4" s="1"/>
  <c r="P46" i="4" s="1"/>
  <c r="J47" i="4"/>
  <c r="L47" i="4" s="1"/>
  <c r="N47" i="4" s="1" a="1"/>
  <c r="N47" i="4" s="1"/>
  <c r="P47" i="4" s="1"/>
  <c r="J48" i="4"/>
  <c r="J49" i="4"/>
  <c r="L49" i="4" s="1"/>
  <c r="N49" i="4" s="1" a="1"/>
  <c r="N49" i="4" s="1"/>
  <c r="P49" i="4" s="1"/>
  <c r="J50" i="4"/>
  <c r="L50" i="4" s="1"/>
  <c r="N50" i="4" s="1" a="1"/>
  <c r="N50" i="4" s="1"/>
  <c r="P50" i="4" s="1"/>
  <c r="J51" i="4"/>
  <c r="D2" i="6"/>
  <c r="C2" i="6"/>
  <c r="F2" i="6"/>
  <c r="E2" i="6"/>
  <c r="L31" i="4" l="1"/>
  <c r="N31" i="4" s="1" a="1"/>
  <c r="N31" i="4" s="1"/>
  <c r="P31" i="4" s="1"/>
  <c r="L29" i="4"/>
  <c r="N29" i="4" s="1" a="1"/>
  <c r="N29" i="4" s="1"/>
  <c r="P29" i="4" s="1"/>
  <c r="L42" i="4"/>
  <c r="N42" i="4" s="1" a="1"/>
  <c r="N42" i="4" s="1"/>
  <c r="P42" i="4" s="1"/>
  <c r="L7" i="4"/>
  <c r="N7" i="4" s="1" a="1"/>
  <c r="N7" i="4" s="1"/>
  <c r="P7" i="4" s="1"/>
  <c r="L3" i="4"/>
  <c r="M4" i="4"/>
  <c r="L2" i="4"/>
  <c r="L48" i="4"/>
  <c r="N48" i="4" s="1" a="1"/>
  <c r="N48" i="4" s="1"/>
  <c r="P48" i="4" s="1"/>
  <c r="L32" i="4"/>
  <c r="N32" i="4" s="1" a="1"/>
  <c r="N32" i="4" s="1"/>
  <c r="P32" i="4" s="1"/>
  <c r="L18" i="4"/>
  <c r="N18" i="4" s="1" a="1"/>
  <c r="N18" i="4" s="1"/>
  <c r="P18" i="4" s="1"/>
  <c r="L23" i="4"/>
  <c r="N23" i="4" s="1" a="1"/>
  <c r="N23" i="4" s="1"/>
  <c r="P23" i="4" s="1"/>
  <c r="L11" i="4"/>
  <c r="N11" i="4" s="1" a="1"/>
  <c r="N11" i="4" s="1"/>
  <c r="P11" i="4" s="1"/>
  <c r="M6" i="4"/>
  <c r="L9" i="4"/>
  <c r="N9" i="4" s="1" a="1"/>
  <c r="N9" i="4" s="1"/>
  <c r="P9" i="4" s="1"/>
  <c r="L10" i="4"/>
  <c r="N10" i="4" s="1" a="1"/>
  <c r="N10" i="4" s="1"/>
  <c r="P10" i="4" s="1"/>
  <c r="L45" i="4"/>
  <c r="N45" i="4" s="1" a="1"/>
  <c r="N45" i="4" s="1"/>
  <c r="P45" i="4" s="1"/>
  <c r="L33" i="4"/>
  <c r="N33" i="4" s="1" a="1"/>
  <c r="N33" i="4" s="1"/>
  <c r="P33" i="4" s="1"/>
  <c r="L21" i="4"/>
  <c r="N21" i="4" s="1" a="1"/>
  <c r="N21" i="4" s="1"/>
  <c r="P21" i="4" s="1"/>
  <c r="L17" i="4"/>
  <c r="N17" i="4" s="1" a="1"/>
  <c r="N17" i="4" s="1"/>
  <c r="P17" i="4" s="1"/>
  <c r="M2" i="4"/>
  <c r="M18" i="4"/>
  <c r="M44" i="4"/>
  <c r="M43" i="4"/>
  <c r="M7" i="4"/>
  <c r="M8" i="4"/>
  <c r="M20" i="4"/>
  <c r="L13" i="4"/>
  <c r="N13" i="4" s="1" a="1"/>
  <c r="N13" i="4" s="1"/>
  <c r="P13" i="4" s="1"/>
  <c r="M51" i="4"/>
  <c r="M45" i="4"/>
  <c r="M33" i="4"/>
  <c r="M21" i="4"/>
  <c r="M9" i="4"/>
  <c r="M42" i="4"/>
  <c r="M32" i="4"/>
  <c r="M19" i="4"/>
  <c r="M30" i="4"/>
  <c r="M31" i="4"/>
  <c r="L4" i="4"/>
  <c r="N4" i="4" s="1" a="1"/>
  <c r="N4" i="4" s="1"/>
  <c r="P4" i="4" s="1"/>
  <c r="M48" i="4"/>
  <c r="M36" i="4"/>
  <c r="M24" i="4"/>
  <c r="M12" i="4"/>
  <c r="M47" i="4"/>
  <c r="M35" i="4"/>
  <c r="M23" i="4"/>
  <c r="M11" i="4"/>
  <c r="M46" i="4"/>
  <c r="M34" i="4"/>
  <c r="M22" i="4"/>
  <c r="M10" i="4"/>
  <c r="M41" i="4"/>
  <c r="M29" i="4"/>
  <c r="M17" i="4"/>
  <c r="M5" i="4"/>
  <c r="M40" i="4"/>
  <c r="M28" i="4"/>
  <c r="M16" i="4"/>
  <c r="M39" i="4"/>
  <c r="M27" i="4"/>
  <c r="M15" i="4"/>
  <c r="M3" i="4"/>
  <c r="M50" i="4"/>
  <c r="M38" i="4"/>
  <c r="M26" i="4"/>
  <c r="M14" i="4"/>
  <c r="M49" i="4"/>
  <c r="M37" i="4"/>
  <c r="M25" i="4"/>
  <c r="M13" i="4"/>
  <c r="L6" i="4"/>
  <c r="N6" i="4" s="1" a="1"/>
  <c r="N6" i="4" s="1"/>
  <c r="P6" i="4" s="1"/>
  <c r="N8" i="4" a="1"/>
  <c r="N8" i="4" s="1"/>
  <c r="P8" i="4" s="1"/>
  <c r="L5" i="4"/>
  <c r="N5" i="4" s="1" a="1"/>
  <c r="N5" i="4" s="1"/>
  <c r="P5" i="4" s="1"/>
  <c r="L51" i="4"/>
  <c r="N51" i="4" s="1" a="1"/>
  <c r="N51" i="4" s="1"/>
  <c r="P51" i="4" s="1"/>
  <c r="N3" i="4" l="1" a="1"/>
  <c r="N3" i="4" s="1"/>
  <c r="P3" i="4" s="1"/>
  <c r="N2" i="4" a="1"/>
  <c r="N2" i="4" s="1"/>
  <c r="P2"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<sst xmlns="http://schemas.openxmlformats.org/spreadsheetml/2006/main" count="581" uniqueCount="111">
  <si>
    <t>Airline</t>
  </si>
  <si>
    <t>Aircraft_Model</t>
  </si>
  <si>
    <t>Registration_ID</t>
  </si>
  <si>
    <t>Year_Built</t>
  </si>
  <si>
    <t>Seats</t>
  </si>
  <si>
    <t>Engine_Type</t>
  </si>
  <si>
    <t>Range_km</t>
  </si>
  <si>
    <t>Fuel_Burn_L_hr</t>
  </si>
  <si>
    <t>Status</t>
  </si>
  <si>
    <t>Air India</t>
  </si>
  <si>
    <t>A320neo</t>
  </si>
  <si>
    <t>A4691</t>
  </si>
  <si>
    <t>Rolls-Royce XWB</t>
  </si>
  <si>
    <t>Active</t>
  </si>
  <si>
    <t>United Airlines</t>
  </si>
  <si>
    <t>Boeing 787-9</t>
  </si>
  <si>
    <t>E3036</t>
  </si>
  <si>
    <t>Pratt &amp; Whitney PW4000</t>
  </si>
  <si>
    <t>Lufthansa</t>
  </si>
  <si>
    <t>Embraer E190</t>
  </si>
  <si>
    <t>B3731</t>
  </si>
  <si>
    <t>Delta Airlines</t>
  </si>
  <si>
    <t>Boeing 737 MAX</t>
  </si>
  <si>
    <t>C7193</t>
  </si>
  <si>
    <t>CFM56</t>
  </si>
  <si>
    <t>Retired</t>
  </si>
  <si>
    <t>Singapore Airlines</t>
  </si>
  <si>
    <t>Airbus A350</t>
  </si>
  <si>
    <t>A3380</t>
  </si>
  <si>
    <t>GE Genx</t>
  </si>
  <si>
    <t>Qatar Airways</t>
  </si>
  <si>
    <t>B8689</t>
  </si>
  <si>
    <t>CFM LEAP-1A</t>
  </si>
  <si>
    <t>Turkish Airlines</t>
  </si>
  <si>
    <t>A5743</t>
  </si>
  <si>
    <t>Rolls-Royce Trent</t>
  </si>
  <si>
    <t>B6255</t>
  </si>
  <si>
    <t>Under Maintenance</t>
  </si>
  <si>
    <t>Emirates</t>
  </si>
  <si>
    <t>D2433</t>
  </si>
  <si>
    <t>A9273</t>
  </si>
  <si>
    <t>IAE V2500</t>
  </si>
  <si>
    <t>E2871</t>
  </si>
  <si>
    <t>B9791</t>
  </si>
  <si>
    <t>Airbus A380</t>
  </si>
  <si>
    <t>C1587</t>
  </si>
  <si>
    <t>Boeing 747-8i</t>
  </si>
  <si>
    <t>A1196</t>
  </si>
  <si>
    <t>C1738</t>
  </si>
  <si>
    <t>E6863</t>
  </si>
  <si>
    <t>B8050</t>
  </si>
  <si>
    <t>E8236</t>
  </si>
  <si>
    <t>D8757</t>
  </si>
  <si>
    <t>A9744</t>
  </si>
  <si>
    <t>Boeing 777-300ER</t>
  </si>
  <si>
    <t>E6668</t>
  </si>
  <si>
    <t>D6025</t>
  </si>
  <si>
    <t>C9751</t>
  </si>
  <si>
    <t>E9787</t>
  </si>
  <si>
    <t>A5541</t>
  </si>
  <si>
    <t>C5580</t>
  </si>
  <si>
    <t>B2513</t>
  </si>
  <si>
    <t>C3646</t>
  </si>
  <si>
    <t>B8813</t>
  </si>
  <si>
    <t>A6687</t>
  </si>
  <si>
    <t>C5064</t>
  </si>
  <si>
    <t>E7580</t>
  </si>
  <si>
    <t>D6133</t>
  </si>
  <si>
    <t>A4840</t>
  </si>
  <si>
    <t>B9977</t>
  </si>
  <si>
    <t>A4830</t>
  </si>
  <si>
    <t>B9827</t>
  </si>
  <si>
    <t>D6553</t>
  </si>
  <si>
    <t>C3731</t>
  </si>
  <si>
    <t>A4310</t>
  </si>
  <si>
    <t>A4131</t>
  </si>
  <si>
    <t>B6445</t>
  </si>
  <si>
    <t>A7288</t>
  </si>
  <si>
    <t>D2603</t>
  </si>
  <si>
    <t>C5086</t>
  </si>
  <si>
    <t>D6226</t>
  </si>
  <si>
    <t>A9155</t>
  </si>
  <si>
    <t>A3931</t>
  </si>
  <si>
    <t>E4902</t>
  </si>
  <si>
    <t>D3156</t>
  </si>
  <si>
    <t>Service_Interval_Hours</t>
  </si>
  <si>
    <t>Maintenance_Threshold</t>
  </si>
  <si>
    <t>Estimated_Total_Hours</t>
  </si>
  <si>
    <t>Cycle Number</t>
  </si>
  <si>
    <t>Fully Mission Capable</t>
  </si>
  <si>
    <t>Inactive - Asset Review</t>
  </si>
  <si>
    <t>Mission Restricted</t>
  </si>
  <si>
    <t>Grand Total</t>
  </si>
  <si>
    <t>OPERATIONAL READINESS RATE</t>
  </si>
  <si>
    <t>TOTAL SEAT CAPACITY</t>
  </si>
  <si>
    <t>Fuel Per Seat</t>
  </si>
  <si>
    <t>Row Labels</t>
  </si>
  <si>
    <t>Average of Fuel Per Seat</t>
  </si>
  <si>
    <t>Aircraft Model</t>
  </si>
  <si>
    <t>Count of Registration_ID</t>
  </si>
  <si>
    <t>Service_Interval_Remaining</t>
  </si>
  <si>
    <t>Sum of Service_Interval_Remaining</t>
  </si>
  <si>
    <t>Registration ID</t>
  </si>
  <si>
    <t>ASSETS IN MAINTENANCE</t>
  </si>
  <si>
    <t>Sum of Seats</t>
  </si>
  <si>
    <t>Count of Readiness_Status</t>
  </si>
  <si>
    <t>Average of Service_Interval_Remaining</t>
  </si>
  <si>
    <t>AVG. HOURS TO NEXT MAINTENANCE</t>
  </si>
  <si>
    <t>Maint_Flag</t>
  </si>
  <si>
    <t>Sum of Maint_Flag</t>
  </si>
  <si>
    <t>Readiness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</si>
</sst>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18" fillId="33" borderId="0" xfId="0" applyFont="1" applyFill="1" applyAlignment="1">
      <alignment horizontal="center" vertical="center"/>
    </xf>
    <xf numFmtId="0" fontId="5" fillId="33" borderId="0" xfId="0" applyFont="1" applyFill="1" applyAlignment="1">
      <alignment horizontal="center" vertical="center"/>
    </xf>
    <xf numFmtId="9" fontId="18" fillId="33" borderId="0" xfId="42" applyFont="1" applyFill="1" applyAlignment="1">
      <alignment horizontal="center" vertical="center"/>
    </xf>
    <xf numFmtId="0" fontId="16" fillId="0" borderId="0" xfId="0" applyFont="1"/>
    <xf numFmtId="0" fontId="5" fillId="0" borderId="0" xfId="0" applyFont="1"/>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2" fontId="0" fillId="0" borderId="0" xfId="0" applyNumberFormat="1"/>
    <xf numFmtId="1" fontId="18" fillId="33" borderId="0" xfId="0" applyNumberFormat="1"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font>
        <color theme="1"/>
      </font>
      <fill>
        <patternFill>
          <bgColor theme="0" tint="-0.14996795556505021"/>
        </patternFill>
      </fill>
    </dxf>
    <dxf>
      <fill>
        <patternFill>
          <bgColor rgb="FF92D050"/>
        </patternFill>
      </fill>
    </dxf>
    <dxf>
      <fill>
        <patternFill>
          <bgColor rgb="FFFFFF00"/>
        </patternFill>
      </fill>
    </dxf>
    <dxf>
      <fill>
        <patternFill>
          <bgColor rgb="FFFFC000"/>
        </patternFill>
      </fill>
    </dxf>
    <dxf>
      <fill>
        <patternFill>
          <bgColor theme="0" tint="-0.34998626667073579"/>
        </patternFill>
      </fill>
    </dxf>
    <dxf>
      <font>
        <color rgb="FFFF0000"/>
      </font>
      <fill>
        <patternFill>
          <bgColor theme="0"/>
        </patternFill>
      </fill>
    </dxf>
    <dxf>
      <font>
        <color rgb="FF00B050"/>
      </font>
    </dxf>
    <dxf>
      <font>
        <color rgb="FF006100"/>
      </font>
      <fill>
        <patternFill>
          <bgColor rgb="FFC6EFCE"/>
        </patternFill>
      </fill>
    </dxf>
    <dxf>
      <font>
        <color theme="9" tint="-0.499984740745262"/>
      </font>
      <fill>
        <patternFill>
          <bgColor theme="9" tint="0.39994506668294322"/>
        </patternFill>
      </fill>
    </dxf>
    <dxf>
      <font>
        <color theme="5" tint="-0.499984740745262"/>
      </font>
      <fill>
        <patternFill>
          <bgColor rgb="FFFFFF66"/>
        </patternFill>
      </fill>
    </dxf>
    <dxf>
      <font>
        <color theme="2" tint="-0.749961851863155"/>
      </font>
      <fill>
        <patternFill>
          <bgColor theme="0" tint="-0.14996795556505021"/>
        </patternFill>
      </fill>
    </dxf>
    <dxf>
      <font>
        <color theme="0"/>
      </font>
      <fill>
        <patternFill>
          <bgColor rgb="FFFF0000"/>
        </patternFill>
      </fill>
    </dxf>
    <dxf>
      <font>
        <color theme="1"/>
      </font>
      <fill>
        <patternFill>
          <bgColor rgb="FF92D050"/>
        </patternFill>
      </fill>
    </dxf>
    <dxf>
      <font>
        <color theme="1"/>
      </font>
      <fill>
        <patternFill>
          <bgColor theme="2" tint="-9.9948118533890809E-2"/>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71111"/>
      <color rgb="FFEEE02E"/>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[Aviation_Fleet_Sustainment_Dashboard.xlsx]Calc!AvgFuel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Av</a:t>
            </a:r>
            <a:r>
              <a:rPr lang="en-US" sz="1600" b="1" baseline="0">
                <a:solidFill>
                  <a:schemeClr val="tx2"/>
                </a:solidFill>
              </a:rPr>
              <a:t>g. Fuel Consumption per Seat (L/Seat/Hr)</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Calc!$H$4</c:f>
              <c:strCache>
                <c:ptCount val="1"/>
                <c:pt idx="0">
                  <c:v>Total</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Calc!$G$5:$G$13</c:f>
              <c:strCache>
                <c:ptCount val="8"/>
                <c:pt idx="0">
                  <c:v>A320neo</c:v>
                </c:pt>
                <c:pt idx="1">
                  <c:v>Airbus A380</c:v>
                </c:pt>
                <c:pt idx="2">
                  <c:v>Airbus A350</c:v>
                </c:pt>
                <c:pt idx="3">
                  <c:v>Boeing 737 MAX</c:v>
                </c:pt>
                <c:pt idx="4">
                  <c:v>Boeing 777-300ER</c:v>
                </c:pt>
                <c:pt idx="5">
                  <c:v>Boeing 747-8i</c:v>
                </c:pt>
                <c:pt idx="6">
                  <c:v>Embraer E190</c:v>
                </c:pt>
                <c:pt idx="7">
                  <c:v>Boeing 787-9</c:v>
                </c:pt>
              </c:strCache>
            </c:strRef>
          </c:cat>
          <c:val>
            <c:numRef>
              <c:f>Calc!$H$5:$H$13</c:f>
              <c:numCache>
                <c:formatCode>0.00</c:formatCode>
                <c:ptCount val="8"/>
                <c:pt idx="0">
                  <c:v>13.261507977169606</c:v>
                </c:pt>
                <c:pt idx="1">
                  <c:v>16.376878071005589</c:v>
                </c:pt>
                <c:pt idx="2">
                  <c:v>16.981246331370723</c:v>
                </c:pt>
                <c:pt idx="3">
                  <c:v>24.688894244263594</c:v>
                </c:pt>
                <c:pt idx="4">
                  <c:v>30.052575694192488</c:v>
                </c:pt>
                <c:pt idx="5">
                  <c:v>31.581186606767456</c:v>
                </c:pt>
                <c:pt idx="6">
                  <c:v>32.761993875300085</c:v>
                </c:pt>
                <c:pt idx="7">
                  <c:v>36.430277118626492</c:v>
                </c:pt>
              </c:numCache>
            </c:numRef>
          </c:val>
          <c:extLst>
            <c:ext xmlns:c16="http://schemas.microsoft.com/office/drawing/2014/chart" uri="{C3380CC4-5D6E-409C-BE32-E72D297353CC}">
              <c16:uniqueId val="{00000000-ED07-4BD5-8E47-D6784D195A65}"/>
            </c:ext>
          </c:extLst>
        </c:ser>
        <c:dLbls>
          <c:dLblPos val="outEnd"/>
          <c:showLegendKey val="0"/>
          <c:showVal val="1"/>
          <c:showCatName val="0"/>
          <c:showSerName val="0"/>
          <c:showPercent val="0"/>
          <c:showBubbleSize val="0"/>
        </c:dLbls>
        <c:gapWidth val="182"/>
        <c:axId val="1427150255"/>
        <c:axId val="1427147855"/>
      </c:barChart>
      <c:catAx>
        <c:axId val="142715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crossAx val="1427147855"/>
        <c:crosses val="autoZero"/>
        <c:auto val="1"/>
        <c:lblAlgn val="ctr"/>
        <c:lblOffset val="100"/>
        <c:noMultiLvlLbl val="0"/>
      </c:catAx>
      <c:valAx>
        <c:axId val="1427147855"/>
        <c:scaling>
          <c:orientation val="minMax"/>
        </c:scaling>
        <c:delete val="1"/>
        <c:axPos val="b"/>
        <c:numFmt formatCode="0" sourceLinked="0"/>
        <c:majorTickMark val="none"/>
        <c:minorTickMark val="none"/>
        <c:tickLblPos val="nextTo"/>
        <c:crossAx val="1427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[Aviation_Fleet_Sustainment_Dashboard.xlsx]Calc!ServiceInterval</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Maintenance</a:t>
            </a:r>
            <a:r>
              <a:rPr lang="en-US" sz="1600" b="1" baseline="0">
                <a:solidFill>
                  <a:schemeClr val="tx2"/>
                </a:solidFill>
              </a:rPr>
              <a:t> Priority: Hours to Service Interval</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Calc!$K$2</c:f>
              <c:strCache>
                <c:ptCount val="1"/>
                <c:pt idx="0">
                  <c:v>Total</c:v>
                </c:pt>
              </c:strCache>
            </c:strRef>
          </c:tx>
          <c:spPr>
            <a:solidFill>
              <a:schemeClr val="accent1"/>
            </a:solidFill>
            <a:ln>
              <a:noFill/>
            </a:ln>
            <a:effectLst/>
          </c:spPr>
          <c:invertIfNegative val="0"/>
          <c:cat>
            <c:strRef>
              <c:f>Calc!$J$3:$J$16</c:f>
              <c:strCache>
                <c:ptCount val="13"/>
                <c:pt idx="0">
                  <c:v>B9977</c:v>
                </c:pt>
                <c:pt idx="1">
                  <c:v>D3156</c:v>
                </c:pt>
                <c:pt idx="2">
                  <c:v>C3646</c:v>
                </c:pt>
                <c:pt idx="3">
                  <c:v>B2513</c:v>
                </c:pt>
                <c:pt idx="4">
                  <c:v>E4902</c:v>
                </c:pt>
                <c:pt idx="5">
                  <c:v>A4131</c:v>
                </c:pt>
                <c:pt idx="6">
                  <c:v>B8813</c:v>
                </c:pt>
                <c:pt idx="7">
                  <c:v>E8236</c:v>
                </c:pt>
                <c:pt idx="8">
                  <c:v>A4830</c:v>
                </c:pt>
                <c:pt idx="9">
                  <c:v>A6687</c:v>
                </c:pt>
                <c:pt idx="10">
                  <c:v>B6255</c:v>
                </c:pt>
                <c:pt idx="11">
                  <c:v>D2433</c:v>
                </c:pt>
                <c:pt idx="12">
                  <c:v>B9827</c:v>
                </c:pt>
              </c:strCache>
            </c:strRef>
          </c:cat>
          <c:val>
            <c:numRef>
              <c:f>Calc!$K$3:$K$16</c:f>
              <c:numCache>
                <c:formatCode>General</c:formatCode>
                <c:ptCount val="13"/>
                <c:pt idx="0">
                  <c:v>4000</c:v>
                </c:pt>
                <c:pt idx="1">
                  <c:v>4000</c:v>
                </c:pt>
                <c:pt idx="2">
                  <c:v>4000</c:v>
                </c:pt>
                <c:pt idx="3">
                  <c:v>4000</c:v>
                </c:pt>
                <c:pt idx="4">
                  <c:v>4000</c:v>
                </c:pt>
                <c:pt idx="5">
                  <c:v>4000</c:v>
                </c:pt>
                <c:pt idx="6">
                  <c:v>4000</c:v>
                </c:pt>
                <c:pt idx="7">
                  <c:v>2000</c:v>
                </c:pt>
                <c:pt idx="8">
                  <c:v>2000</c:v>
                </c:pt>
                <c:pt idx="9">
                  <c:v>2000</c:v>
                </c:pt>
                <c:pt idx="10">
                  <c:v>2000</c:v>
                </c:pt>
                <c:pt idx="11">
                  <c:v>2000</c:v>
                </c:pt>
                <c:pt idx="12">
                  <c:v>2000</c:v>
                </c:pt>
              </c:numCache>
            </c:numRef>
          </c:val>
          <c:extLst>
            <c:ext xmlns:c16="http://schemas.microsoft.com/office/drawing/2014/chart" uri="{C3380CC4-5D6E-409C-BE32-E72D297353CC}">
              <c16:uniqueId val="{00000000-0889-4454-9C8C-3DB37348E6FD}"/>
            </c:ext>
          </c:extLst>
        </c:ser>
        <c:dLbls>
          <c:showLegendKey val="0"/>
          <c:showVal val="0"/>
          <c:showCatName val="0"/>
          <c:showSerName val="0"/>
          <c:showPercent val="0"/>
          <c:showBubbleSize val="0"/>
        </c:dLbls>
        <c:gapWidth val="182"/>
        <c:axId val="141798799"/>
        <c:axId val="141799279"/>
      </c:barChart>
      <c:catAx>
        <c:axId val="14179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799279"/>
        <c:crosses val="autoZero"/>
        <c:auto val="1"/>
        <c:lblAlgn val="ctr"/>
        <c:lblOffset val="100"/>
        <c:noMultiLvlLbl val="0"/>
      </c:catAx>
      <c:valAx>
        <c:axId val="1417992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Remaining Flight</a:t>
                </a:r>
                <a:r>
                  <a:rPr lang="en-US" b="1" baseline="0"/>
                  <a:t> Hours (FH)</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79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[Aviation_Fleet_Sustainment_Dashboard.xlsx]Calc!Readiness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Mission Capability</a:t>
            </a:r>
            <a:r>
              <a:rPr lang="en-US" sz="1600" b="1" baseline="0">
                <a:solidFill>
                  <a:schemeClr val="tx2"/>
                </a:solidFill>
              </a:rPr>
              <a: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solidFill>
              <a:sysClr val="window" lastClr="FFFFFF">
                <a:alpha val="80000"/>
              </a:sysClr>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pivotFmt>
      <c:pivotFmt>
        <c:idx val="7"/>
        <c:spPr>
          <a:solidFill>
            <a:schemeClr val="bg2">
              <a:lumMod val="50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Calc!$E$2</c:f>
              <c:strCache>
                <c:ptCount val="1"/>
                <c:pt idx="0">
                  <c:v>Total</c:v>
                </c:pt>
              </c:strCache>
            </c:strRef>
          </c:tx>
          <c:spPr>
            <a:solidFill>
              <a:srgbClr val="C00000"/>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1C9-45C9-A3C6-753C64885238}"/>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C1C9-45C9-A3C6-753C6488523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1C9-45C9-A3C6-753C64885238}"/>
              </c:ext>
            </c:extLst>
          </c:dPt>
          <c:dLbls>
            <c:spPr>
              <a:solidFill>
                <a:sysClr val="window" lastClr="FFFFFF">
                  <a:alpha val="80000"/>
                </a:sysClr>
              </a:solidFill>
              <a:ln>
                <a:solidFill>
                  <a:sysClr val="windowText" lastClr="000000">
                    <a:lumMod val="25000"/>
                    <a:lumOff val="75000"/>
                  </a:sys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Calc!$D$3:$D$6</c:f>
              <c:strCache>
                <c:ptCount val="3"/>
                <c:pt idx="0">
                  <c:v>Fully Mission Capable</c:v>
                </c:pt>
                <c:pt idx="1">
                  <c:v>Inactive - Asset Review</c:v>
                </c:pt>
                <c:pt idx="2">
                  <c:v>Mission Restricted</c:v>
                </c:pt>
              </c:strCache>
            </c:strRef>
          </c:cat>
          <c:val>
            <c:numRef>
              <c:f>Calc!$E$3:$E$6</c:f>
              <c:numCache>
                <c:formatCode>General</c:formatCode>
                <c:ptCount val="3"/>
                <c:pt idx="0">
                  <c:v>22</c:v>
                </c:pt>
                <c:pt idx="1">
                  <c:v>12</c:v>
                </c:pt>
                <c:pt idx="2">
                  <c:v>16</c:v>
                </c:pt>
              </c:numCache>
            </c:numRef>
          </c:val>
          <c:extLst>
            <c:ext xmlns:c16="http://schemas.microsoft.com/office/drawing/2014/chart" uri="{C3380CC4-5D6E-409C-BE32-E72D297353CC}">
              <c16:uniqueId val="{00000006-C1C9-45C9-A3C6-753C64885238}"/>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441960</xdr:colOff>
      <xdr:row>8</xdr:row>
      <xdr:rowOff>144780</xdr:rowOff>
    </xdr:from>
    <xdr:to>
      <xdr:col>1</xdr:col>
      <xdr:colOff>868680</xdr:colOff>
      <xdr:row>13</xdr:row>
      <xdr:rowOff>45720</xdr:rowOff>
    </xdr:to>
    <xdr:sp macro="" textlink="">
      <xdr:nvSpPr>
        <xdr:cNvPr id="3" name="TextBox 2">
          <a:extLst>
            <a:ext uri="{FF2B5EF4-FFF2-40B4-BE49-F238E27FC236}">
              <a16:creationId xmlns:a16="http://schemas.microsoft.com/office/drawing/2014/main" id="{D8EC1F4F-9FD9-7708-64CD-63EF8847F71E}"/>
            </a:ext>
          </a:extLst>
        </xdr:cNvPr>
        <xdr:cNvSpPr txBox="1"/>
      </xdr:nvSpPr>
      <xdr:spPr>
        <a:xfrm>
          <a:off x="441960" y="1607820"/>
          <a:ext cx="1927860" cy="815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Note: Service intervals are simulated for demonstration of analytical logic and relational data modeling</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1676400</xdr:colOff>
      <xdr:row>2</xdr:row>
      <xdr:rowOff>7620</xdr:rowOff>
    </xdr:from>
    <xdr:to>
      <xdr:col>3</xdr:col>
      <xdr:colOff>1005840</xdr:colOff>
      <xdr:row>23</xdr:row>
      <xdr:rowOff>15240</xdr:rowOff>
    </xdr:to>
    <xdr:graphicFrame macro="">
      <xdr:nvGraphicFramePr>
        <xdr:cNvPr id="4" name="Fuel Consumption">
          <a:extLst>
            <a:ext uri="{FF2B5EF4-FFF2-40B4-BE49-F238E27FC236}">
              <a16:creationId xmlns:a16="http://schemas.microsoft.com/office/drawing/2014/main" id="{D1A5DB63-6983-4AE6-91A8-3AF78E50E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2095500</xdr:colOff>
      <xdr:row>2</xdr:row>
      <xdr:rowOff>7620</xdr:rowOff>
    </xdr:from>
    <xdr:to>
      <xdr:col>5</xdr:col>
      <xdr:colOff>3248025</xdr:colOff>
      <xdr:row>23</xdr:row>
      <xdr:rowOff>7620</xdr:rowOff>
    </xdr:to>
    <xdr:graphicFrame macro="">
      <xdr:nvGraphicFramePr>
        <xdr:cNvPr id="8" name="Maintenance Priority">
          <a:extLst>
            <a:ext uri="{FF2B5EF4-FFF2-40B4-BE49-F238E27FC236}">
              <a16:creationId xmlns:a16="http://schemas.microsoft.com/office/drawing/2014/main" id="{7EB41077-88BA-425A-BF84-3A08166D6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358140</xdr:colOff>
      <xdr:row>14</xdr:row>
      <xdr:rowOff>144780</xdr:rowOff>
    </xdr:from>
    <xdr:to>
      <xdr:col>2</xdr:col>
      <xdr:colOff>7620</xdr:colOff>
      <xdr:row>23</xdr:row>
      <xdr:rowOff>13335</xdr:rowOff>
    </xdr:to>
    <mc:AlternateContent xmlns:mc="http://schemas.openxmlformats.org/markup-compatibility/2006" xmlns:a14="http://schemas.microsoft.com/office/drawing/2010/main">
      <mc:Choice Requires="a14">
        <xdr:graphicFrame macro="">
          <xdr:nvGraphicFramePr>
            <xdr:cNvPr id="39" name="Airline">
              <a:extLst>
                <a:ext uri="{FF2B5EF4-FFF2-40B4-BE49-F238E27FC236}">
                  <a16:creationId xmlns:a16="http://schemas.microsoft.com/office/drawing/2014/main" id="{9AEABFE0-C56A-402C-B92E-68908843D591}"/>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358140" y="2849880"/>
              <a:ext cx="268224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358140</xdr:colOff>
      <xdr:row>6</xdr:row>
      <xdr:rowOff>7620</xdr:rowOff>
    </xdr:from>
    <xdr:to>
      <xdr:col>2</xdr:col>
      <xdr:colOff>7620</xdr:colOff>
      <xdr:row>14</xdr:row>
      <xdr:rowOff>144779</xdr:rowOff>
    </xdr:to>
    <mc:AlternateContent xmlns:mc="http://schemas.openxmlformats.org/markup-compatibility/2006" xmlns:a14="http://schemas.microsoft.com/office/drawing/2010/main">
      <mc:Choice Requires="a14">
        <xdr:graphicFrame macro="">
          <xdr:nvGraphicFramePr>
            <xdr:cNvPr id="40" name="Aircraft_Model">
              <a:extLst>
                <a:ext uri="{FF2B5EF4-FFF2-40B4-BE49-F238E27FC236}">
                  <a16:creationId xmlns:a16="http://schemas.microsoft.com/office/drawing/2014/main" id="{E793E000-2811-4CDD-BC7E-AD52364D2809}"/>
                </a:ext>
              </a:extLst>
            </xdr:cNvPr>
            <xdr:cNvGraphicFramePr/>
          </xdr:nvGraphicFramePr>
          <xdr:xfrm>
            <a:off x="0" y="0"/>
            <a:ext cx="0" cy="0"/>
          </xdr:xfrm>
          <a:graphic>
            <a:graphicData uri="http://schemas.microsoft.com/office/drawing/2010/slicer">
              <sle:slicer xmlns:sle="http://schemas.microsoft.com/office/drawing/2010/slicer" name="Aircraft_Model"/>
            </a:graphicData>
          </a:graphic>
        </xdr:graphicFrame>
      </mc:Choice>
      <mc:Fallback xmlns="">
        <xdr:sp macro="" textlink="">
          <xdr:nvSpPr>
            <xdr:cNvPr id="0" name=""/>
            <xdr:cNvSpPr>
              <a:spLocks noTextEdit="1"/>
            </xdr:cNvSpPr>
          </xdr:nvSpPr>
          <xdr:spPr>
            <a:xfrm>
              <a:off x="358140" y="1249680"/>
              <a:ext cx="268224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358140</xdr:colOff>
      <xdr:row>0</xdr:row>
      <xdr:rowOff>7621</xdr:rowOff>
    </xdr:from>
    <xdr:to>
      <xdr:col>2</xdr:col>
      <xdr:colOff>7620</xdr:colOff>
      <xdr:row>6</xdr:row>
      <xdr:rowOff>1</xdr:rowOff>
    </xdr:to>
    <mc:AlternateContent xmlns:mc="http://schemas.openxmlformats.org/markup-compatibility/2006" xmlns:a14="http://schemas.microsoft.com/office/drawing/2010/main">
      <mc:Choice Requires="a14">
        <xdr:graphicFrame macro="">
          <xdr:nvGraphicFramePr>
            <xdr:cNvPr id="41" name="Readiness_Status">
              <a:extLst>
                <a:ext uri="{FF2B5EF4-FFF2-40B4-BE49-F238E27FC236}">
                  <a16:creationId xmlns:a16="http://schemas.microsoft.com/office/drawing/2014/main" id="{119C3853-A3BF-4DC4-85E4-BF68E65F9FB6}"/>
                </a:ext>
              </a:extLst>
            </xdr:cNvPr>
            <xdr:cNvGraphicFramePr/>
          </xdr:nvGraphicFramePr>
          <xdr:xfrm>
            <a:off x="0" y="0"/>
            <a:ext cx="0" cy="0"/>
          </xdr:xfrm>
          <a:graphic>
            <a:graphicData uri="http://schemas.microsoft.com/office/drawing/2010/slicer">
              <sle:slicer xmlns:sle="http://schemas.microsoft.com/office/drawing/2010/slicer" name="Readiness_Status"/>
            </a:graphicData>
          </a:graphic>
        </xdr:graphicFrame>
      </mc:Choice>
      <mc:Fallback xmlns="">
        <xdr:sp macro="" textlink="">
          <xdr:nvSpPr>
            <xdr:cNvPr id="0" name=""/>
            <xdr:cNvSpPr>
              <a:spLocks noTextEdit="1"/>
            </xdr:cNvSpPr>
          </xdr:nvSpPr>
          <xdr:spPr>
            <a:xfrm>
              <a:off x="342900" y="7621"/>
              <a:ext cx="269748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1013460</xdr:colOff>
      <xdr:row>2</xdr:row>
      <xdr:rowOff>7620</xdr:rowOff>
    </xdr:from>
    <xdr:to>
      <xdr:col>4</xdr:col>
      <xdr:colOff>2038350</xdr:colOff>
      <xdr:row>23</xdr:row>
      <xdr:rowOff>15240</xdr:rowOff>
    </xdr:to>
    <xdr:graphicFrame macro="">
      <xdr:nvGraphicFramePr>
        <xdr:cNvPr id="45" name="Chart 44">
          <a:extLst>
            <a:ext uri="{FF2B5EF4-FFF2-40B4-BE49-F238E27FC236}">
              <a16:creationId xmlns:a16="http://schemas.microsoft.com/office/drawing/2014/main" id="{3651E4A8-CEEC-4284-935E-A238D6A25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0.38322</cdr:x>
      <cdr:y>0.45149</cdr:y>
    </cdr:from>
    <cdr:to>
      <cdr:x>0.64136</cdr:x>
      <cdr:y>0.6099</cdr:y>
    </cdr:to>
    <cdr:grpSp>
      <cdr:nvGrpSpPr>
        <cdr:cNvPr id="6" name="Group 5">
          <a:extLst xmlns:a="http://schemas.openxmlformats.org/drawingml/2006/main">
            <a:ext uri="{FF2B5EF4-FFF2-40B4-BE49-F238E27FC236}">
              <a16:creationId xmlns:a16="http://schemas.microsoft.com/office/drawing/2014/main" id="{7EC198B2-4D72-13FD-7AF8-FD851E00F571}"/>
            </a:ext>
          </a:extLst>
        </cdr:cNvPr>
        <cdr:cNvGrpSpPr/>
      </cdr:nvGrpSpPr>
      <cdr:grpSpPr>
        <a:xfrm xmlns:a="http://schemas.openxmlformats.org/drawingml/2006/main">
          <a:off x="1385605" y="1737379"/>
          <a:ext cx="933354" cy="609577"/>
          <a:chOff x="1346200" y="1737359"/>
          <a:chExt cx="906780" cy="609601"/>
        </a:xfrm>
      </cdr:grpSpPr>
      <cdr:sp macro="" textlink="Calc!$O$7">
        <cdr:nvSpPr>
          <cdr:cNvPr id="2" name="TextBox 47">
            <a:extLst xmlns:a="http://schemas.openxmlformats.org/drawingml/2006/main">
              <a:ext uri="{FF2B5EF4-FFF2-40B4-BE49-F238E27FC236}">
                <a16:creationId xmlns:a16="http://schemas.microsoft.com/office/drawing/2014/main" id="{D4317F88-F919-8924-82DA-EB97AC854912}"/>
              </a:ext>
            </a:extLst>
          </cdr:cNvPr>
          <cdr:cNvSpPr txBox="1"/>
        </cdr:nvSpPr>
        <cdr:spPr>
          <a:xfrm xmlns:a="http://schemas.openxmlformats.org/drawingml/2006/main">
            <a:off x="1493520" y="1737359"/>
            <a:ext cx="566420" cy="3733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6DC2320-D9AF-4115-A775-7293AE0D14BA}" type="TxLink">
              <a:rPr lang="en-US" sz="2400" b="1" i="0" u="none" strike="noStrike">
                <a:solidFill>
                  <a:srgbClr val="000000"/>
                </a:solidFill>
                <a:latin typeface="Aptos Narrow"/>
              </a:rPr>
              <a:pPr algn="ctr"/>
              <a:t>50</a:t>
            </a:fld>
            <a:endParaRPr lang="en-US" sz="8800" b="1">
              <a:solidFill>
                <a:schemeClr val="tx2"/>
              </a:solidFill>
            </a:endParaRPr>
          </a:p>
        </cdr:txBody>
      </cdr:sp>
      <cdr:sp macro="" textlink="">
        <cdr:nvSpPr>
          <cdr:cNvPr id="3" name="TextBox 48">
            <a:extLst xmlns:a="http://schemas.openxmlformats.org/drawingml/2006/main">
              <a:ext uri="{FF2B5EF4-FFF2-40B4-BE49-F238E27FC236}">
                <a16:creationId xmlns:a16="http://schemas.microsoft.com/office/drawing/2014/main" id="{34104CB9-1D92-F2BC-2BB5-FD3AF6EEFE59}"/>
              </a:ext>
            </a:extLst>
          </cdr:cNvPr>
          <cdr:cNvSpPr txBox="1"/>
        </cdr:nvSpPr>
        <cdr:spPr>
          <a:xfrm xmlns:a="http://schemas.openxmlformats.org/drawingml/2006/main">
            <a:off x="1346200" y="2146300"/>
            <a:ext cx="906780" cy="20066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100"/>
              <a:t>Total</a:t>
            </a:r>
            <a:r>
              <a:rPr lang="en-US" sz="1100" baseline="0"/>
              <a:t> Assets</a:t>
            </a:r>
            <a:endParaRPr lang="en-US" sz="1100"/>
          </a:p>
        </cdr:txBody>
      </cdr:sp>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ria Konikkara" refreshedDate="46136.40453738426" createdVersion="8" refreshedVersion="8" minRefreshableVersion="3" recordCount="50" xr:uid="{3DB1A9EE-CB41-4C22-A4B1-CD9215E713A7}">
  <cacheSource type="worksheet">
    <worksheetSource name="Fleet_Inventory"/>
  </cacheSource>
  <cacheFields count="16">
    <cacheField name="Airline" numFmtId="0">
      <sharedItems count="8">
        <s v="Air India"/>
        <s v="United Airlines"/>
        <s v="Lufthansa"/>
        <s v="Delta Airlines"/>
        <s v="Singapore Airlines"/>
        <s v="Qatar Airways"/>
        <s v="Turkish Airlines"/>
        <s v="Emirates"/>
      </sharedItems>
    </cacheField>
    <cacheField name="Aircraft_Model" numFmtId="0">
      <sharedItems count="8">
        <s v="A320neo"/>
        <s v="Boeing 787-9"/>
        <s v="Embraer E190"/>
        <s v="Boeing 737 MAX"/>
        <s v="Airbus A350"/>
        <s v="Airbus A380"/>
        <s v="Boeing 747-8i"/>
        <s v="Boeing 777-300ER"/>
      </sharedItems>
    </cacheField>
    <cacheField name="Registration_ID" numFmtId="0">
      <sharedItems count="50">
        <s v="A4691"/>
        <s v="E3036"/>
        <s v="B3731"/>
        <s v="C7193"/>
        <s v="A3380"/>
        <s v="B8689"/>
        <s v="A5743"/>
        <s v="B6255"/>
        <s v="D2433"/>
        <s v="A9273"/>
        <s v="E2871"/>
        <s v="B9791"/>
        <s v="C1587"/>
        <s v="A1196"/>
        <s v="C1738"/>
        <s v="E6863"/>
        <s v="B8050"/>
        <s v="E8236"/>
        <s v="D8757"/>
        <s v="A9744"/>
        <s v="E6668"/>
        <s v="D6025"/>
        <s v="C9751"/>
        <s v="E9787"/>
        <s v="A5541"/>
        <s v="C5580"/>
        <s v="B2513"/>
        <s v="C3646"/>
        <s v="B8813"/>
        <s v="A6687"/>
        <s v="C5064"/>
        <s v="E7580"/>
        <s v="D6133"/>
        <s v="A4840"/>
        <s v="B9977"/>
        <s v="A4830"/>
        <s v="B9827"/>
        <s v="D6553"/>
        <s v="C3731"/>
        <s v="A4310"/>
        <s v="A4131"/>
        <s v="B6445"/>
        <s v="A7288"/>
        <s v="D2603"/>
        <s v="C5086"/>
        <s v="D6226"/>
        <s v="A9155"/>
        <s v="A3931"/>
        <s v="E4902"/>
        <s v="D3156"/>
      </sharedItems>
    </cacheField>
    <cacheField name="Year_Built" numFmtId="0">
      <sharedItems containsSemiMixedTypes="0" containsString="0" containsNumber="1" containsInteger="1" minValue="1995" maxValue="2022"/>
    </cacheField>
    <cacheField name="Seats" numFmtId="0">
      <sharedItems containsSemiMixedTypes="0" containsString="0" containsNumber="1" containsInteger="1" minValue="117" maxValue="850"/>
    </cacheField>
    <cacheField name="Engine_Type" numFmtId="0">
      <sharedItems/>
    </cacheField>
    <cacheField name="Range_km" numFmtId="0">
      <sharedItems containsSemiMixedTypes="0" containsString="0" containsNumber="1" containsInteger="1" minValue="5550" maxValue="15529"/>
    </cacheField>
    <cacheField name="Fuel_Burn_L_hr" numFmtId="0">
      <sharedItems containsSemiMixedTypes="0" containsString="0" containsNumber="1" containsInteger="1" minValue="2168" maxValue="13868"/>
    </cacheField>
    <cacheField name="Status" numFmtId="0">
      <sharedItems/>
    </cacheField>
    <cacheField name="Maintenance_Threshold" numFmtId="0">
      <sharedItems containsSemiMixedTypes="0" containsString="0" containsNumber="1" containsInteger="1" minValue="10000" maxValue="21000"/>
    </cacheField>
    <cacheField name="Estimated_Total_Hours" numFmtId="0">
      <sharedItems containsSemiMixedTypes="0" containsString="0" containsNumber="1" containsInteger="1" minValue="8000" maxValue="62000"/>
    </cacheField>
    <cacheField name="Service_Interval_Remaining" numFmtId="0">
      <sharedItems containsSemiMixedTypes="0" containsString="0" containsNumber="1" containsInteger="1" minValue="2000" maxValue="20000"/>
    </cacheField>
    <cacheField name="Cycle Number" numFmtId="0">
      <sharedItems containsSemiMixedTypes="0" containsString="0" containsNumber="1" containsInteger="1" minValue="1" maxValue="6"/>
    </cacheField>
    <cacheField name="Readiness_Status" numFmtId="0">
      <sharedItems count="3">
        <s v="Fully Mission Capable"/>
        <s v="Inactive - Asset Review"/>
        <s v="Mission Restricted"/>
      </sharedItems>
    </cacheField>
    <cacheField name="Fuel Per Seat" numFmtId="0">
      <sharedItems containsSemiMixedTypes="0" containsString="0" containsNumber="1" minValue="2.7478152309612982" maxValue="100.31623931623932"/>
    </cacheField>
    <cacheField name="Maint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85685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014"/>
    <n v="187"/>
    <s v="Rolls-Royce XWB"/>
    <n v="15529"/>
    <n v="2875"/>
    <s v="Active"/>
    <n v="21000"/>
    <n v="24000"/>
    <n v="18000"/>
    <n v="2"/>
    <x v="0"/>
    <n v="15.37433155080214"/>
    <n v="0"/>
  </r>
  <r>
    <x v="1"/>
    <x v="1"/>
    <x v="1"/>
    <n v="1998"/>
    <n v="769"/>
    <s v="Pratt &amp; Whitney PW4000"/>
    <n v="7880"/>
    <n v="11764"/>
    <s v="Active"/>
    <n v="14000"/>
    <n v="56000"/>
    <n v="14000"/>
    <n v="5"/>
    <x v="0"/>
    <n v="15.29778933680104"/>
    <n v="0"/>
  </r>
  <r>
    <x v="2"/>
    <x v="2"/>
    <x v="2"/>
    <n v="2011"/>
    <n v="151"/>
    <s v="Rolls-Royce XWB"/>
    <n v="11921"/>
    <n v="12380"/>
    <s v="Active"/>
    <n v="21000"/>
    <n v="30000"/>
    <n v="12000"/>
    <n v="2"/>
    <x v="0"/>
    <n v="81.986754966887418"/>
    <n v="0"/>
  </r>
  <r>
    <x v="3"/>
    <x v="3"/>
    <x v="3"/>
    <n v="2013"/>
    <n v="294"/>
    <s v="CFM56"/>
    <n v="6948"/>
    <n v="11077"/>
    <s v="Retired"/>
    <n v="12000"/>
    <n v="26000"/>
    <n v="10000"/>
    <n v="3"/>
    <x v="1"/>
    <n v="37.676870748299322"/>
    <n v="0"/>
  </r>
  <r>
    <x v="4"/>
    <x v="4"/>
    <x v="4"/>
    <n v="2020"/>
    <n v="778"/>
    <s v="GE Genx"/>
    <n v="12185"/>
    <n v="2168"/>
    <s v="Active"/>
    <n v="20000"/>
    <n v="12000"/>
    <n v="8000"/>
    <n v="1"/>
    <x v="0"/>
    <n v="2.7866323907455013"/>
    <n v="0"/>
  </r>
  <r>
    <x v="5"/>
    <x v="3"/>
    <x v="5"/>
    <n v="2017"/>
    <n v="551"/>
    <s v="CFM LEAP-1A"/>
    <n v="9784"/>
    <n v="7775"/>
    <s v="Active"/>
    <n v="17000"/>
    <n v="18000"/>
    <n v="16000"/>
    <n v="2"/>
    <x v="0"/>
    <n v="14.11070780399274"/>
    <n v="0"/>
  </r>
  <r>
    <x v="6"/>
    <x v="2"/>
    <x v="6"/>
    <n v="2019"/>
    <n v="553"/>
    <s v="Rolls-Royce Trent"/>
    <n v="13780"/>
    <n v="11834"/>
    <s v="Active"/>
    <n v="12000"/>
    <n v="14000"/>
    <n v="10000"/>
    <n v="2"/>
    <x v="0"/>
    <n v="21.399638336347198"/>
    <n v="0"/>
  </r>
  <r>
    <x v="4"/>
    <x v="2"/>
    <x v="7"/>
    <n v="2015"/>
    <n v="484"/>
    <s v="Rolls-Royce Trent"/>
    <n v="13959"/>
    <n v="4106"/>
    <s v="Under Maintenance"/>
    <n v="12000"/>
    <n v="22000"/>
    <n v="2000"/>
    <n v="2"/>
    <x v="2"/>
    <n v="8.4834710743801658"/>
    <n v="1"/>
  </r>
  <r>
    <x v="7"/>
    <x v="3"/>
    <x v="8"/>
    <n v="2009"/>
    <n v="511"/>
    <s v="CFM56"/>
    <n v="10902"/>
    <n v="2173"/>
    <s v="Retired"/>
    <n v="12000"/>
    <n v="34000"/>
    <n v="2000"/>
    <n v="3"/>
    <x v="1"/>
    <n v="4.2524461839530332"/>
    <n v="0"/>
  </r>
  <r>
    <x v="3"/>
    <x v="4"/>
    <x v="9"/>
    <n v="2015"/>
    <n v="355"/>
    <s v="IAE V2500"/>
    <n v="13570"/>
    <n v="8623"/>
    <s v="Active"/>
    <n v="10000"/>
    <n v="22000"/>
    <n v="8000"/>
    <n v="3"/>
    <x v="0"/>
    <n v="24.290140845070422"/>
    <n v="0"/>
  </r>
  <r>
    <x v="0"/>
    <x v="0"/>
    <x v="10"/>
    <n v="2000"/>
    <n v="307"/>
    <s v="CFM56"/>
    <n v="9241"/>
    <n v="7238"/>
    <s v="Retired"/>
    <n v="12000"/>
    <n v="52000"/>
    <n v="8000"/>
    <n v="5"/>
    <x v="1"/>
    <n v="23.576547231270357"/>
    <n v="0"/>
  </r>
  <r>
    <x v="3"/>
    <x v="0"/>
    <x v="11"/>
    <n v="1997"/>
    <n v="748"/>
    <s v="Pratt &amp; Whitney PW4000"/>
    <n v="5876"/>
    <n v="5027"/>
    <s v="Active"/>
    <n v="14000"/>
    <n v="58000"/>
    <n v="12000"/>
    <n v="5"/>
    <x v="0"/>
    <n v="6.7205882352941178"/>
    <n v="0"/>
  </r>
  <r>
    <x v="5"/>
    <x v="5"/>
    <x v="12"/>
    <n v="2020"/>
    <n v="850"/>
    <s v="CFM56"/>
    <n v="14757"/>
    <n v="2622"/>
    <s v="Retired"/>
    <n v="12000"/>
    <n v="12000"/>
    <n v="12000"/>
    <n v="2"/>
    <x v="1"/>
    <n v="3.084705882352941"/>
    <n v="0"/>
  </r>
  <r>
    <x v="1"/>
    <x v="6"/>
    <x v="13"/>
    <n v="2013"/>
    <n v="237"/>
    <s v="Rolls-Royce Trent"/>
    <n v="9445"/>
    <n v="13093"/>
    <s v="Retired"/>
    <n v="12000"/>
    <n v="26000"/>
    <n v="10000"/>
    <n v="3"/>
    <x v="1"/>
    <n v="55.244725738396625"/>
    <n v="0"/>
  </r>
  <r>
    <x v="5"/>
    <x v="2"/>
    <x v="14"/>
    <n v="2022"/>
    <n v="324"/>
    <s v="Rolls-Royce XWB"/>
    <n v="9482"/>
    <n v="11050"/>
    <s v="Under Maintenance"/>
    <n v="21000"/>
    <n v="8000"/>
    <n v="13000"/>
    <n v="1"/>
    <x v="2"/>
    <n v="34.104938271604937"/>
    <n v="1"/>
  </r>
  <r>
    <x v="0"/>
    <x v="5"/>
    <x v="15"/>
    <n v="2008"/>
    <n v="622"/>
    <s v="Rolls-Royce XWB"/>
    <n v="11403"/>
    <n v="6580"/>
    <s v="Under Maintenance"/>
    <n v="21000"/>
    <n v="36000"/>
    <n v="6000"/>
    <n v="2"/>
    <x v="2"/>
    <n v="10.578778135048232"/>
    <n v="1"/>
  </r>
  <r>
    <x v="1"/>
    <x v="1"/>
    <x v="16"/>
    <n v="2022"/>
    <n v="195"/>
    <s v="GE Genx"/>
    <n v="12732"/>
    <n v="12288"/>
    <s v="Active"/>
    <n v="20000"/>
    <n v="8000"/>
    <n v="12000"/>
    <n v="1"/>
    <x v="0"/>
    <n v="63.015384615384619"/>
    <n v="0"/>
  </r>
  <r>
    <x v="0"/>
    <x v="6"/>
    <x v="17"/>
    <n v="2006"/>
    <n v="543"/>
    <s v="Rolls-Royce XWB"/>
    <n v="15109"/>
    <n v="11000"/>
    <s v="Under Maintenance"/>
    <n v="21000"/>
    <n v="40000"/>
    <n v="2000"/>
    <n v="2"/>
    <x v="2"/>
    <n v="20.257826887661142"/>
    <n v="1"/>
  </r>
  <r>
    <x v="4"/>
    <x v="3"/>
    <x v="18"/>
    <n v="1999"/>
    <n v="181"/>
    <s v="GE Genx"/>
    <n v="5550"/>
    <n v="4293"/>
    <s v="Active"/>
    <n v="20000"/>
    <n v="54000"/>
    <n v="6000"/>
    <n v="3"/>
    <x v="0"/>
    <n v="23.718232044198896"/>
    <n v="0"/>
  </r>
  <r>
    <x v="7"/>
    <x v="3"/>
    <x v="19"/>
    <n v="1999"/>
    <n v="804"/>
    <s v="Rolls-Royce Trent"/>
    <n v="14328"/>
    <n v="12490"/>
    <s v="Retired"/>
    <n v="12000"/>
    <n v="54000"/>
    <n v="6000"/>
    <n v="5"/>
    <x v="1"/>
    <n v="15.534825870646767"/>
    <n v="0"/>
  </r>
  <r>
    <x v="5"/>
    <x v="7"/>
    <x v="20"/>
    <n v="2018"/>
    <n v="594"/>
    <s v="Rolls-Royce Trent"/>
    <n v="7094"/>
    <n v="10181"/>
    <s v="Active"/>
    <n v="12000"/>
    <n v="16000"/>
    <n v="8000"/>
    <n v="2"/>
    <x v="0"/>
    <n v="17.13973063973064"/>
    <n v="0"/>
  </r>
  <r>
    <x v="0"/>
    <x v="5"/>
    <x v="21"/>
    <n v="2021"/>
    <n v="562"/>
    <s v="CFM LEAP-1A"/>
    <n v="9998"/>
    <n v="3333"/>
    <s v="Retired"/>
    <n v="17000"/>
    <n v="10000"/>
    <n v="7000"/>
    <n v="1"/>
    <x v="1"/>
    <n v="5.9306049822064058"/>
    <n v="0"/>
  </r>
  <r>
    <x v="4"/>
    <x v="5"/>
    <x v="22"/>
    <n v="2004"/>
    <n v="455"/>
    <s v="Pratt &amp; Whitney PW4000"/>
    <n v="13950"/>
    <n v="10381"/>
    <s v="Under Maintenance"/>
    <n v="14000"/>
    <n v="44000"/>
    <n v="12000"/>
    <n v="4"/>
    <x v="2"/>
    <n v="22.815384615384616"/>
    <n v="1"/>
  </r>
  <r>
    <x v="2"/>
    <x v="2"/>
    <x v="23"/>
    <n v="2004"/>
    <n v="695"/>
    <s v="GE Genx"/>
    <n v="13546"/>
    <n v="3931"/>
    <s v="Retired"/>
    <n v="20000"/>
    <n v="44000"/>
    <n v="16000"/>
    <n v="3"/>
    <x v="1"/>
    <n v="5.6561151079136689"/>
    <n v="0"/>
  </r>
  <r>
    <x v="4"/>
    <x v="5"/>
    <x v="24"/>
    <n v="2006"/>
    <n v="276"/>
    <s v="IAE V2500"/>
    <n v="13017"/>
    <n v="12390"/>
    <s v="Active"/>
    <n v="10000"/>
    <n v="40000"/>
    <n v="10000"/>
    <n v="5"/>
    <x v="0"/>
    <n v="44.891304347826086"/>
    <n v="0"/>
  </r>
  <r>
    <x v="4"/>
    <x v="4"/>
    <x v="25"/>
    <n v="2000"/>
    <n v="369"/>
    <s v="GE Genx"/>
    <n v="11367"/>
    <n v="8111"/>
    <s v="Active"/>
    <n v="20000"/>
    <n v="52000"/>
    <n v="8000"/>
    <n v="3"/>
    <x v="0"/>
    <n v="21.981029810298104"/>
    <n v="0"/>
  </r>
  <r>
    <x v="7"/>
    <x v="7"/>
    <x v="26"/>
    <n v="1998"/>
    <n v="216"/>
    <s v="IAE V2500"/>
    <n v="8845"/>
    <n v="13751"/>
    <s v="Active"/>
    <n v="10000"/>
    <n v="56000"/>
    <n v="4000"/>
    <n v="6"/>
    <x v="0"/>
    <n v="63.662037037037038"/>
    <n v="0"/>
  </r>
  <r>
    <x v="7"/>
    <x v="6"/>
    <x v="27"/>
    <n v="2007"/>
    <n v="556"/>
    <s v="Rolls-Royce XWB"/>
    <n v="8416"/>
    <n v="10698"/>
    <s v="Under Maintenance"/>
    <n v="21000"/>
    <n v="38000"/>
    <n v="4000"/>
    <n v="2"/>
    <x v="2"/>
    <n v="19.241007194244606"/>
    <n v="1"/>
  </r>
  <r>
    <x v="2"/>
    <x v="2"/>
    <x v="28"/>
    <n v="2016"/>
    <n v="117"/>
    <s v="CFM56"/>
    <n v="12893"/>
    <n v="11737"/>
    <s v="Under Maintenance"/>
    <n v="12000"/>
    <n v="20000"/>
    <n v="4000"/>
    <n v="2"/>
    <x v="2"/>
    <n v="100.31623931623932"/>
    <n v="1"/>
  </r>
  <r>
    <x v="7"/>
    <x v="7"/>
    <x v="29"/>
    <n v="2012"/>
    <n v="823"/>
    <s v="IAE V2500"/>
    <n v="15226"/>
    <n v="4749"/>
    <s v="Under Maintenance"/>
    <n v="10000"/>
    <n v="28000"/>
    <n v="2000"/>
    <n v="3"/>
    <x v="2"/>
    <n v="5.7703523693803156"/>
    <n v="1"/>
  </r>
  <r>
    <x v="4"/>
    <x v="7"/>
    <x v="30"/>
    <n v="2003"/>
    <n v="451"/>
    <s v="GE Genx"/>
    <n v="15056"/>
    <n v="2899"/>
    <s v="Active"/>
    <n v="20000"/>
    <n v="46000"/>
    <n v="14000"/>
    <n v="3"/>
    <x v="0"/>
    <n v="6.4279379157427936"/>
    <n v="0"/>
  </r>
  <r>
    <x v="7"/>
    <x v="4"/>
    <x v="31"/>
    <n v="2002"/>
    <n v="509"/>
    <s v="Rolls-Royce XWB"/>
    <n v="6076"/>
    <n v="6893"/>
    <s v="Active"/>
    <n v="21000"/>
    <n v="48000"/>
    <n v="15000"/>
    <n v="3"/>
    <x v="0"/>
    <n v="13.542239685658153"/>
    <n v="0"/>
  </r>
  <r>
    <x v="3"/>
    <x v="3"/>
    <x v="32"/>
    <n v="2004"/>
    <n v="332"/>
    <s v="GE Genx"/>
    <n v="13476"/>
    <n v="11350"/>
    <s v="Under Maintenance"/>
    <n v="20000"/>
    <n v="44000"/>
    <n v="16000"/>
    <n v="3"/>
    <x v="2"/>
    <n v="34.186746987951807"/>
    <n v="1"/>
  </r>
  <r>
    <x v="0"/>
    <x v="7"/>
    <x v="33"/>
    <n v="2005"/>
    <n v="168"/>
    <s v="GE Genx"/>
    <n v="12940"/>
    <n v="13199"/>
    <s v="Under Maintenance"/>
    <n v="20000"/>
    <n v="42000"/>
    <n v="18000"/>
    <n v="3"/>
    <x v="2"/>
    <n v="78.56547619047619"/>
    <n v="1"/>
  </r>
  <r>
    <x v="4"/>
    <x v="1"/>
    <x v="34"/>
    <n v="2014"/>
    <n v="245"/>
    <s v="Pratt &amp; Whitney PW4000"/>
    <n v="15415"/>
    <n v="13868"/>
    <s v="Under Maintenance"/>
    <n v="14000"/>
    <n v="24000"/>
    <n v="4000"/>
    <n v="2"/>
    <x v="2"/>
    <n v="56.604081632653063"/>
    <n v="1"/>
  </r>
  <r>
    <x v="4"/>
    <x v="2"/>
    <x v="35"/>
    <n v="2006"/>
    <n v="290"/>
    <s v="Rolls-Royce XWB"/>
    <n v="8057"/>
    <n v="2538"/>
    <s v="Retired"/>
    <n v="21000"/>
    <n v="40000"/>
    <n v="2000"/>
    <n v="2"/>
    <x v="1"/>
    <n v="8.7517241379310349"/>
    <n v="0"/>
  </r>
  <r>
    <x v="0"/>
    <x v="7"/>
    <x v="36"/>
    <n v="2020"/>
    <n v="801"/>
    <s v="Pratt &amp; Whitney PW4000"/>
    <n v="13381"/>
    <n v="2201"/>
    <s v="Retired"/>
    <n v="14000"/>
    <n v="12000"/>
    <n v="2000"/>
    <n v="1"/>
    <x v="1"/>
    <n v="2.7478152309612982"/>
    <n v="0"/>
  </r>
  <r>
    <x v="6"/>
    <x v="7"/>
    <x v="37"/>
    <n v="2006"/>
    <n v="486"/>
    <s v="CFM LEAP-1A"/>
    <n v="13259"/>
    <n v="12891"/>
    <s v="Retired"/>
    <n v="17000"/>
    <n v="40000"/>
    <n v="11000"/>
    <n v="3"/>
    <x v="1"/>
    <n v="26.52469135802469"/>
    <n v="0"/>
  </r>
  <r>
    <x v="3"/>
    <x v="3"/>
    <x v="38"/>
    <n v="2005"/>
    <n v="850"/>
    <s v="Rolls-Royce Trent"/>
    <n v="9129"/>
    <n v="9197"/>
    <s v="Under Maintenance"/>
    <n v="12000"/>
    <n v="42000"/>
    <n v="6000"/>
    <n v="4"/>
    <x v="2"/>
    <n v="10.82"/>
    <n v="1"/>
  </r>
  <r>
    <x v="1"/>
    <x v="3"/>
    <x v="39"/>
    <n v="2005"/>
    <n v="139"/>
    <s v="IAE V2500"/>
    <n v="12143"/>
    <n v="8946"/>
    <s v="Retired"/>
    <n v="10000"/>
    <n v="42000"/>
    <n v="8000"/>
    <n v="5"/>
    <x v="1"/>
    <n v="64.359712230215834"/>
    <n v="0"/>
  </r>
  <r>
    <x v="0"/>
    <x v="1"/>
    <x v="40"/>
    <n v="2004"/>
    <n v="571"/>
    <s v="Rolls-Royce Trent"/>
    <n v="10410"/>
    <n v="6169"/>
    <s v="Active"/>
    <n v="12000"/>
    <n v="44000"/>
    <n v="4000"/>
    <n v="4"/>
    <x v="0"/>
    <n v="10.803852889667251"/>
    <n v="0"/>
  </r>
  <r>
    <x v="4"/>
    <x v="7"/>
    <x v="41"/>
    <n v="2004"/>
    <n v="362"/>
    <s v="GE Genx"/>
    <n v="10059"/>
    <n v="12465"/>
    <s v="Under Maintenance"/>
    <n v="20000"/>
    <n v="44000"/>
    <n v="16000"/>
    <n v="3"/>
    <x v="2"/>
    <n v="34.433701657458563"/>
    <n v="1"/>
  </r>
  <r>
    <x v="1"/>
    <x v="0"/>
    <x v="42"/>
    <n v="2013"/>
    <n v="562"/>
    <s v="CFM LEAP-1A"/>
    <n v="11073"/>
    <n v="6655"/>
    <s v="Under Maintenance"/>
    <n v="17000"/>
    <n v="26000"/>
    <n v="8000"/>
    <n v="2"/>
    <x v="2"/>
    <n v="11.841637010676157"/>
    <n v="1"/>
  </r>
  <r>
    <x v="0"/>
    <x v="2"/>
    <x v="43"/>
    <n v="2000"/>
    <n v="274"/>
    <s v="Rolls-Royce Trent"/>
    <n v="8207"/>
    <n v="5502"/>
    <s v="Active"/>
    <n v="12000"/>
    <n v="52000"/>
    <n v="8000"/>
    <n v="5"/>
    <x v="0"/>
    <n v="20.080291970802918"/>
    <n v="0"/>
  </r>
  <r>
    <x v="0"/>
    <x v="5"/>
    <x v="44"/>
    <n v="2020"/>
    <n v="734"/>
    <s v="Rolls-Royce XWB"/>
    <n v="10651"/>
    <n v="8045"/>
    <s v="Active"/>
    <n v="21000"/>
    <n v="12000"/>
    <n v="9000"/>
    <n v="1"/>
    <x v="0"/>
    <n v="10.960490463215258"/>
    <n v="0"/>
  </r>
  <r>
    <x v="1"/>
    <x v="0"/>
    <x v="45"/>
    <n v="2013"/>
    <n v="647"/>
    <s v="Rolls-Royce XWB"/>
    <n v="6482"/>
    <n v="5690"/>
    <s v="Under Maintenance"/>
    <n v="21000"/>
    <n v="26000"/>
    <n v="16000"/>
    <n v="2"/>
    <x v="2"/>
    <n v="8.7944358578052544"/>
    <n v="1"/>
  </r>
  <r>
    <x v="7"/>
    <x v="3"/>
    <x v="46"/>
    <n v="2015"/>
    <n v="790"/>
    <s v="Rolls-Royce XWB"/>
    <n v="10023"/>
    <n v="13857"/>
    <s v="Active"/>
    <n v="21000"/>
    <n v="22000"/>
    <n v="20000"/>
    <n v="2"/>
    <x v="0"/>
    <n v="17.540506329113924"/>
    <n v="0"/>
  </r>
  <r>
    <x v="7"/>
    <x v="4"/>
    <x v="47"/>
    <n v="1995"/>
    <n v="614"/>
    <s v="Pratt &amp; Whitney PW4000"/>
    <n v="11813"/>
    <n v="13696"/>
    <s v="Active"/>
    <n v="14000"/>
    <n v="62000"/>
    <n v="8000"/>
    <n v="5"/>
    <x v="0"/>
    <n v="22.306188925081432"/>
    <n v="0"/>
  </r>
  <r>
    <x v="0"/>
    <x v="2"/>
    <x v="48"/>
    <n v="1998"/>
    <n v="749"/>
    <s v="IAE V2500"/>
    <n v="6211"/>
    <n v="10545"/>
    <s v="Under Maintenance"/>
    <n v="10000"/>
    <n v="56000"/>
    <n v="4000"/>
    <n v="6"/>
    <x v="2"/>
    <n v="14.078771695594126"/>
    <n v="1"/>
  </r>
  <r>
    <x v="5"/>
    <x v="7"/>
    <x v="49"/>
    <n v="1998"/>
    <n v="139"/>
    <s v="IAE V2500"/>
    <n v="7328"/>
    <n v="4893"/>
    <s v="Active"/>
    <n v="10000"/>
    <n v="56000"/>
    <n v="4000"/>
    <n v="6"/>
    <x v="0"/>
    <n v="35.20143884892086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B0D83-6B8A-488C-A374-6871053A340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R7" firstHeaderRow="0" firstDataRow="1" firstDataCol="1"/>
  <pivotFields count="16">
    <pivotField showAll="0">
      <items count="9">
        <item x="0"/>
        <item x="3"/>
        <item x="7"/>
        <item x="2"/>
        <item x="5"/>
        <item x="4"/>
        <item x="6"/>
        <item x="1"/>
        <item t="default"/>
      </items>
    </pivotField>
    <pivotField showAll="0">
      <items count="9">
        <item x="0"/>
        <item x="4"/>
        <item x="5"/>
        <item x="3"/>
        <item x="6"/>
        <item x="7"/>
        <item x="1"/>
        <item x="2"/>
        <item t="default"/>
      </items>
    </pivotField>
    <pivotField dataField="1" showAll="0"/>
    <pivotField showAll="0"/>
    <pivotField dataField="1" showAll="0"/>
    <pivotField showAll="0"/>
    <pivotField showAll="0"/>
    <pivotField showAll="0"/>
    <pivotField showAll="0"/>
    <pivotField showAll="0"/>
    <pivotField showAll="0"/>
    <pivotField dataField="1" showAll="0"/>
    <pivotField showAll="0"/>
    <pivotField axis="axisRow" dataField="1">
      <items count="4">
        <item x="0"/>
        <item x="1"/>
        <item x="2"/>
        <item t="default"/>
      </items>
    </pivotField>
    <pivotField showAll="0"/>
    <pivotField dataField="1" showAll="0"/>
  </pivotFields>
  <rowFields count="1">
    <field x="13"/>
  </rowFields>
  <rowItems count="4">
    <i>
      <x/>
    </i>
    <i>
      <x v="1"/>
    </i>
    <i>
      <x v="2"/>
    </i>
    <i t="grand">
      <x/>
    </i>
  </rowItems>
  <colFields count="1">
    <field x="-2"/>
  </colFields>
  <colItems count="5">
    <i>
      <x/>
    </i>
    <i i="1">
      <x v="1"/>
    </i>
    <i i="2">
      <x v="2"/>
    </i>
    <i i="3">
      <x v="3"/>
    </i>
    <i i="4">
      <x v="4"/>
    </i>
  </colItems>
  <dataFields count="5">
    <dataField name="Sum of Seats" fld="4" baseField="0" baseItem="0"/>
    <dataField name="Count of Readiness_Status" fld="13" subtotal="count" baseField="0" baseItem="1"/>
    <dataField name="Sum of Maint_Flag" fld="15" baseField="0" baseItem="0"/>
    <dataField name="Count of Registration_ID" fld="2" subtotal="count" baseField="0" baseItem="0"/>
    <dataField name="Average of Service_Interval_Remaining"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C9421-005C-4437-946D-FF9DD55FA199}" name="ServiceInterv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stration ID">
  <location ref="J2:K16" firstHeaderRow="1" firstDataRow="1" firstDataCol="1"/>
  <pivotFields count="16">
    <pivotField showAll="0">
      <items count="9">
        <item x="0"/>
        <item x="3"/>
        <item x="7"/>
        <item x="2"/>
        <item x="5"/>
        <item x="4"/>
        <item x="6"/>
        <item x="1"/>
        <item t="default"/>
      </items>
    </pivotField>
    <pivotField showAll="0">
      <items count="9">
        <item x="0"/>
        <item x="4"/>
        <item x="5"/>
        <item x="3"/>
        <item x="6"/>
        <item x="7"/>
        <item x="1"/>
        <item x="2"/>
        <item t="default"/>
      </items>
    </pivotField>
    <pivotField axis="axisRow" showAll="0" measureFilter="1" sortType="descending">
      <items count="51">
        <item x="13"/>
        <item x="4"/>
        <item x="47"/>
        <item x="40"/>
        <item x="39"/>
        <item x="0"/>
        <item x="35"/>
        <item x="33"/>
        <item x="24"/>
        <item x="6"/>
        <item x="29"/>
        <item x="42"/>
        <item x="46"/>
        <item x="9"/>
        <item x="19"/>
        <item x="26"/>
        <item x="2"/>
        <item x="7"/>
        <item x="41"/>
        <item x="16"/>
        <item x="5"/>
        <item x="28"/>
        <item x="11"/>
        <item x="36"/>
        <item x="34"/>
        <item x="12"/>
        <item x="14"/>
        <item x="27"/>
        <item x="38"/>
        <item x="30"/>
        <item x="44"/>
        <item x="25"/>
        <item x="3"/>
        <item x="22"/>
        <item x="8"/>
        <item x="43"/>
        <item x="49"/>
        <item x="21"/>
        <item x="32"/>
        <item x="45"/>
        <item x="37"/>
        <item x="18"/>
        <item x="10"/>
        <item x="1"/>
        <item x="48"/>
        <item x="20"/>
        <item x="15"/>
        <item x="31"/>
        <item x="17"/>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pivotFields>
  <rowFields count="1">
    <field x="2"/>
  </rowFields>
  <rowItems count="14">
    <i>
      <x v="24"/>
    </i>
    <i>
      <x v="36"/>
    </i>
    <i>
      <x v="27"/>
    </i>
    <i>
      <x v="15"/>
    </i>
    <i>
      <x v="44"/>
    </i>
    <i>
      <x v="3"/>
    </i>
    <i>
      <x v="21"/>
    </i>
    <i>
      <x v="48"/>
    </i>
    <i>
      <x v="6"/>
    </i>
    <i>
      <x v="10"/>
    </i>
    <i>
      <x v="17"/>
    </i>
    <i>
      <x v="34"/>
    </i>
    <i>
      <x v="23"/>
    </i>
    <i t="grand">
      <x/>
    </i>
  </rowItems>
  <colItems count="1">
    <i/>
  </colItems>
  <dataFields count="1">
    <dataField name="Sum of Service_Interval_Remaining" fld="11"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F3551-E184-4F65-A2C1-2B9BD9E77A06}" name="Readines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E6" firstHeaderRow="1" firstDataRow="1" firstDataCol="1"/>
  <pivotFields count="16">
    <pivotField showAll="0">
      <items count="9">
        <item x="0"/>
        <item x="3"/>
        <item x="7"/>
        <item x="2"/>
        <item x="5"/>
        <item x="4"/>
        <item x="6"/>
        <item x="1"/>
        <item t="default"/>
      </items>
    </pivotField>
    <pivotField showAll="0">
      <items count="9">
        <item x="0"/>
        <item x="4"/>
        <item x="5"/>
        <item x="3"/>
        <item x="6"/>
        <item x="7"/>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s>
  <rowFields count="1">
    <field x="13"/>
  </rowFields>
  <rowItems count="4">
    <i>
      <x/>
    </i>
    <i>
      <x v="1"/>
    </i>
    <i>
      <x v="2"/>
    </i>
    <i t="grand">
      <x/>
    </i>
  </rowItems>
  <colItems count="1">
    <i/>
  </colItems>
  <dataFields count="1">
    <dataField name="Count of Registration_ID" fld="2"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3" count="1" selected="0">
            <x v="0"/>
          </reference>
        </references>
      </pivotArea>
    </chartFormat>
    <chartFormat chart="6" format="7">
      <pivotArea type="data" outline="0" fieldPosition="0">
        <references count="2">
          <reference field="4294967294" count="1" selected="0">
            <x v="0"/>
          </reference>
          <reference field="13" count="1" selected="0">
            <x v="1"/>
          </reference>
        </references>
      </pivotArea>
    </chartFormat>
    <chartFormat chart="6"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27E3C2-A9B4-4986-8304-3A0D411D7FCD}" name="AvgFu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ircraft Model">
  <location ref="G4:H13" firstHeaderRow="1" firstDataRow="1" firstDataCol="1"/>
  <pivotFields count="16">
    <pivotField showAll="0">
      <items count="9">
        <item x="0"/>
        <item x="3"/>
        <item x="7"/>
        <item x="2"/>
        <item x="5"/>
        <item x="4"/>
        <item x="6"/>
        <item x="1"/>
        <item t="default"/>
      </items>
    </pivotField>
    <pivotField axis="axisRow" showAll="0" sortType="ascending">
      <items count="9">
        <item x="0"/>
        <item x="4"/>
        <item x="5"/>
        <item x="3"/>
        <item x="6"/>
        <item x="7"/>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dataField="1" showAll="0"/>
    <pivotField showAll="0"/>
  </pivotFields>
  <rowFields count="1">
    <field x="1"/>
  </rowFields>
  <rowItems count="9">
    <i>
      <x/>
    </i>
    <i>
      <x v="2"/>
    </i>
    <i>
      <x v="1"/>
    </i>
    <i>
      <x v="3"/>
    </i>
    <i>
      <x v="5"/>
    </i>
    <i>
      <x v="4"/>
    </i>
    <i>
      <x v="7"/>
    </i>
    <i>
      <x v="6"/>
    </i>
    <i t="grand">
      <x/>
    </i>
  </rowItems>
  <colItems count="1">
    <i/>
  </colItems>
  <dataFields count="1">
    <dataField name="Average of Fuel Per Seat" fld="14" subtotal="average" baseField="1" baseItem="5"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0DB650CA-0AD4-4D36-B715-D7B18A7C595A}" sourceName="Airline">
  <pivotTables>
    <pivotTable tabId="5" name="PivotTable11"/>
    <pivotTable tabId="5" name="AvgFuel"/>
    <pivotTable tabId="5" name="Readiness"/>
    <pivotTable tabId="5" name="ServiceInterval"/>
  </pivotTables>
  <data>
    <tabular pivotCacheId="1385685089">
      <items count="8">
        <i x="0" s="1"/>
        <i x="3" s="1"/>
        <i x="7" s="1"/>
        <i x="2" s="1"/>
        <i x="5" s="1"/>
        <i x="4"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_Model" xr10:uid="{3F8AE895-909C-4A25-BAED-A3BC25602E02}" sourceName="Aircraft_Model">
  <pivotTables>
    <pivotTable tabId="5" name="PivotTable11"/>
    <pivotTable tabId="5" name="AvgFuel"/>
    <pivotTable tabId="5" name="Readiness"/>
    <pivotTable tabId="5" name="ServiceInterval"/>
  </pivotTables>
  <data>
    <tabular pivotCacheId="1385685089">
      <items count="8">
        <i x="0" s="1"/>
        <i x="4" s="1"/>
        <i x="5" s="1"/>
        <i x="3" s="1"/>
        <i x="6" s="1"/>
        <i x="7"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iness_Status" xr10:uid="{98BE3CB2-3D91-44C7-8573-DA2ACBEFD884}" sourceName="Readiness_Status">
  <pivotTables>
    <pivotTable tabId="5" name="PivotTable11"/>
    <pivotTable tabId="5" name="AvgFuel"/>
    <pivotTable tabId="5" name="Readiness"/>
    <pivotTable tabId="5" name="ServiceInterval"/>
  </pivotTables>
  <data>
    <tabular pivotCacheId="13856850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6B4F64D4-677E-4889-ADA0-9AA63C788703}" cache="Slicer_Airline" caption="Airline" columnCount="2" rowHeight="247650"/>
  <slicer name="Aircraft_Model" xr10:uid="{F0D39D15-504B-429C-B853-19F7CE3877B9}" cache="Slicer_Aircraft_Model" caption="Aircraft Model" columnCount="2" rowHeight="247650"/>
  <slicer name="Readiness_Status" xr10:uid="{35030339-7DB4-4E0B-9B39-56ABD0E90A23}" cache="Slicer_Readiness_Status" caption="Readiness 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99C33-21C3-4C75-A64D-B856D13AC417}" name="Fleet_Inventory" displayName="Fleet_Inventory" ref="A1:P51" totalsRowShown="0">
  <autoFilter ref="A1:P51" xr:uid="{48399C33-21C3-4C75-A64D-B856D13AC417}"/>
  <tableColumns count="16">
    <tableColumn id="1" xr3:uid="{F0AA801D-A0EA-4CFA-865B-F71F6B1EB455}" name="Airline"/>
    <tableColumn id="2" xr3:uid="{58B5682E-73EB-494D-B3ED-1EBEBFF15EAC}" name="Aircraft_Model"/>
    <tableColumn id="3" xr3:uid="{A2A675C4-FF2E-47C7-A904-4B78287FB6E9}" name="Registration_ID"/>
    <tableColumn id="4" xr3:uid="{065A5EC6-ED6E-4316-94C0-C4B22A00B05D}" name="Year_Built"/>
    <tableColumn id="5" xr3:uid="{9CE093D3-C705-4E4A-B493-9EA3E5EEBCCD}" name="Seats"/>
    <tableColumn id="6" xr3:uid="{49A7F520-C2FD-444D-ACBE-1A3A0EEC0731}" name="Engine_Type"/>
    <tableColumn id="7" xr3:uid="{FE0766BA-177E-44A2-8FDE-CD60438E70B7}" name="Range_km"/>
    <tableColumn id="8" xr3:uid="{D345C423-4FD6-4A7C-B064-5CCBE170141B}" name="Fuel_Burn_L_hr"/>
    <tableColumn id="9" xr3:uid="{467F7738-12D1-402E-9E27-49816B262DC7}" name="Status"/>
    <tableColumn id="10" xr3:uid="{2D8DAEBD-C361-4835-ACDB-A88736A5D3C7}" name="Maintenance_Threshold" dataDxfId="22">
      <calculatedColumnFormula>_xlfn.XLOOKUP(Fleet_Inventory[[#This Row],[Engine_Type]],Policy_Table[Engine_Type],Policy_Table[Service_Interval_Hours],"Check Engine Type")</calculatedColumnFormula>
    </tableColumn>
    <tableColumn id="11" xr3:uid="{8194E310-BFD9-4F9C-B367-910A24A512E8}" name="Estimated_Total_Hours" dataDxfId="21">
      <calculatedColumnFormula>(2026-Fleet_Inventory[[#This Row],[Year_Built]])*2000</calculatedColumnFormula>
    </tableColumn>
    <tableColumn id="13" xr3:uid="{5BA7FEC3-C0C5-41A2-9AF0-3BAF49F9D749}" name="Service_Interval_Remaining" dataDxfId="20">
      <calculatedColumnFormula>Fleet_Inventory[[#This Row],[Maintenance_Threshold]] - MOD(Fleet_Inventory[[#This Row],[Estimated_Total_Hours]], Fleet_Inventory[[#This Row],[Maintenance_Threshold]])</calculatedColumnFormula>
    </tableColumn>
    <tableColumn id="15" xr3:uid="{A3FD33CE-6E1F-4C29-8921-601A14FCDFAF}" name="Cycle Number" dataDxfId="19">
      <calculatedColumnFormula>INT(Fleet_Inventory[[#This Row],[Estimated_Total_Hours]] / Fleet_Inventory[[#This Row],[Maintenance_Threshold]]) + 1</calculatedColumnFormula>
    </tableColumn>
    <tableColumn id="12" xr3:uid="{8F23EBA6-0046-4453-8EDD-433E8B7B07E0}" name="Readiness Status" dataDxfId="18">
      <calculatedColumnFormula array="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calculatedColumnFormula>
    </tableColumn>
    <tableColumn id="14" xr3:uid="{986ED632-23FE-4656-9BA2-17F7BDD55B64}" name="Fuel Per Seat" dataDxfId="17">
      <calculatedColumnFormula>Fleet_Inventory[[#This Row],[Fuel_Burn_L_hr]]/Fleet_Inventory[[#This Row],[Seats]]</calculatedColumnFormula>
    </tableColumn>
    <tableColumn id="16" xr3:uid="{204C3B18-5426-42B8-9C34-F6910AE082E4}" name="Maint_Flag" dataDxfId="16">
      <calculatedColumnFormula>IF(Fleet_Inventory[[#This Row],[Readiness Status]]="Mission Restricted", 1,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A1653E-7D49-4C7D-BBA9-1C7691A2B80E}" name="Policy_Table" displayName="Policy_Table" ref="A1:B8" totalsRowShown="0">
  <autoFilter ref="A1:B8" xr:uid="{1FA1653E-7D49-4C7D-BBA9-1C7691A2B80E}"/>
  <tableColumns count="2">
    <tableColumn id="1" xr3:uid="{6129F054-7969-4716-98C3-29796505C547}" name="Engine_Type"/>
    <tableColumn id="2" xr3:uid="{EC8DE5C0-F39B-4476-A5F0-17AC0681DC0D}" name="Service_Interval_Hou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F2D2-5718-4A2C-A521-BA9871AC7728}">
  <dimension ref="A1:I51"/>
  <sheetViews>
    <sheetView topLeftCell="A37" workbookViewId="0">
      <selection activeCell="C45" sqref="C45"/>
    </sheetView>
  </sheetViews>
  <sheetFormatPr defaultRowHeight="14.4" x14ac:dyDescent="0.3"/>
  <cols>
    <col min="1" max="1" width="17.6640625" customWidth="1"/>
    <col min="2" max="2" width="19" customWidth="1"/>
    <col min="3" max="3" width="17.21875" customWidth="1"/>
    <col min="4" max="4" width="12.21875" customWidth="1"/>
    <col min="6" max="6" width="22.109375" customWidth="1"/>
    <col min="7" max="7" width="10.77734375" customWidth="1"/>
    <col min="8" max="8" width="15.21875" customWidth="1"/>
    <col min="9" max="9" width="18.777343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v>2014</v>
      </c>
      <c r="E2">
        <v>187</v>
      </c>
      <c r="F2" t="s">
        <v>12</v>
      </c>
      <c r="G2">
        <v>15529</v>
      </c>
      <c r="H2">
        <v>2875</v>
      </c>
      <c r="I2" t="s">
        <v>13</v>
      </c>
    </row>
    <row r="3" spans="1:9" x14ac:dyDescent="0.3">
      <c r="A3" t="s">
        <v>14</v>
      </c>
      <c r="B3" t="s">
        <v>15</v>
      </c>
      <c r="C3" t="s">
        <v>16</v>
      </c>
      <c r="D3">
        <v>1998</v>
      </c>
      <c r="E3">
        <v>769</v>
      </c>
      <c r="F3" t="s">
        <v>17</v>
      </c>
      <c r="G3">
        <v>7880</v>
      </c>
      <c r="H3">
        <v>11764</v>
      </c>
      <c r="I3" t="s">
        <v>13</v>
      </c>
    </row>
    <row r="4" spans="1:9" x14ac:dyDescent="0.3">
      <c r="A4" t="s">
        <v>18</v>
      </c>
      <c r="B4" t="s">
        <v>19</v>
      </c>
      <c r="C4" t="s">
        <v>20</v>
      </c>
      <c r="D4">
        <v>2011</v>
      </c>
      <c r="E4">
        <v>151</v>
      </c>
      <c r="F4" t="s">
        <v>12</v>
      </c>
      <c r="G4">
        <v>11921</v>
      </c>
      <c r="H4">
        <v>12380</v>
      </c>
      <c r="I4" t="s">
        <v>13</v>
      </c>
    </row>
    <row r="5" spans="1:9" x14ac:dyDescent="0.3">
      <c r="A5" t="s">
        <v>21</v>
      </c>
      <c r="B5" t="s">
        <v>22</v>
      </c>
      <c r="C5" t="s">
        <v>23</v>
      </c>
      <c r="D5">
        <v>2013</v>
      </c>
      <c r="E5">
        <v>294</v>
      </c>
      <c r="F5" t="s">
        <v>24</v>
      </c>
      <c r="G5">
        <v>6948</v>
      </c>
      <c r="H5">
        <v>11077</v>
      </c>
      <c r="I5" t="s">
        <v>25</v>
      </c>
    </row>
    <row r="6" spans="1:9" x14ac:dyDescent="0.3">
      <c r="A6" t="s">
        <v>26</v>
      </c>
      <c r="B6" t="s">
        <v>27</v>
      </c>
      <c r="C6" t="s">
        <v>28</v>
      </c>
      <c r="D6">
        <v>2020</v>
      </c>
      <c r="E6">
        <v>778</v>
      </c>
      <c r="F6" t="s">
        <v>29</v>
      </c>
      <c r="G6">
        <v>12185</v>
      </c>
      <c r="H6">
        <v>2168</v>
      </c>
      <c r="I6" t="s">
        <v>13</v>
      </c>
    </row>
    <row r="7" spans="1:9" x14ac:dyDescent="0.3">
      <c r="A7" t="s">
        <v>30</v>
      </c>
      <c r="B7" t="s">
        <v>22</v>
      </c>
      <c r="C7" t="s">
        <v>31</v>
      </c>
      <c r="D7">
        <v>2017</v>
      </c>
      <c r="E7">
        <v>551</v>
      </c>
      <c r="F7" t="s">
        <v>32</v>
      </c>
      <c r="G7">
        <v>9784</v>
      </c>
      <c r="H7">
        <v>7775</v>
      </c>
      <c r="I7" t="s">
        <v>13</v>
      </c>
    </row>
    <row r="8" spans="1:9" x14ac:dyDescent="0.3">
      <c r="A8" t="s">
        <v>33</v>
      </c>
      <c r="B8" t="s">
        <v>19</v>
      </c>
      <c r="C8" t="s">
        <v>34</v>
      </c>
      <c r="D8">
        <v>2019</v>
      </c>
      <c r="E8">
        <v>553</v>
      </c>
      <c r="F8" t="s">
        <v>35</v>
      </c>
      <c r="G8">
        <v>13780</v>
      </c>
      <c r="H8">
        <v>11834</v>
      </c>
      <c r="I8" t="s">
        <v>13</v>
      </c>
    </row>
    <row r="9" spans="1:9" x14ac:dyDescent="0.3">
      <c r="A9" t="s">
        <v>26</v>
      </c>
      <c r="B9" t="s">
        <v>19</v>
      </c>
      <c r="C9" t="s">
        <v>36</v>
      </c>
      <c r="D9">
        <v>2015</v>
      </c>
      <c r="E9">
        <v>484</v>
      </c>
      <c r="F9" t="s">
        <v>35</v>
      </c>
      <c r="G9">
        <v>13959</v>
      </c>
      <c r="H9">
        <v>4106</v>
      </c>
      <c r="I9" t="s">
        <v>37</v>
      </c>
    </row>
    <row r="10" spans="1:9" x14ac:dyDescent="0.3">
      <c r="A10" t="s">
        <v>38</v>
      </c>
      <c r="B10" t="s">
        <v>22</v>
      </c>
      <c r="C10" t="s">
        <v>39</v>
      </c>
      <c r="D10">
        <v>2009</v>
      </c>
      <c r="E10">
        <v>511</v>
      </c>
      <c r="F10" t="s">
        <v>24</v>
      </c>
      <c r="G10">
        <v>10902</v>
      </c>
      <c r="H10">
        <v>2173</v>
      </c>
      <c r="I10" t="s">
        <v>25</v>
      </c>
    </row>
    <row r="11" spans="1:9" x14ac:dyDescent="0.3">
      <c r="A11" t="s">
        <v>21</v>
      </c>
      <c r="B11" t="s">
        <v>27</v>
      </c>
      <c r="C11" t="s">
        <v>40</v>
      </c>
      <c r="D11">
        <v>2015</v>
      </c>
      <c r="E11">
        <v>355</v>
      </c>
      <c r="F11" t="s">
        <v>41</v>
      </c>
      <c r="G11">
        <v>13570</v>
      </c>
      <c r="H11">
        <v>8623</v>
      </c>
      <c r="I11" t="s">
        <v>13</v>
      </c>
    </row>
    <row r="12" spans="1:9" x14ac:dyDescent="0.3">
      <c r="A12" t="s">
        <v>9</v>
      </c>
      <c r="B12" t="s">
        <v>10</v>
      </c>
      <c r="C12" t="s">
        <v>42</v>
      </c>
      <c r="D12">
        <v>2000</v>
      </c>
      <c r="E12">
        <v>307</v>
      </c>
      <c r="F12" t="s">
        <v>24</v>
      </c>
      <c r="G12">
        <v>9241</v>
      </c>
      <c r="H12">
        <v>7238</v>
      </c>
      <c r="I12" t="s">
        <v>25</v>
      </c>
    </row>
    <row r="13" spans="1:9" x14ac:dyDescent="0.3">
      <c r="A13" t="s">
        <v>21</v>
      </c>
      <c r="B13" t="s">
        <v>10</v>
      </c>
      <c r="C13" t="s">
        <v>43</v>
      </c>
      <c r="D13">
        <v>1997</v>
      </c>
      <c r="E13">
        <v>748</v>
      </c>
      <c r="F13" t="s">
        <v>17</v>
      </c>
      <c r="G13">
        <v>5876</v>
      </c>
      <c r="H13">
        <v>5027</v>
      </c>
      <c r="I13" t="s">
        <v>13</v>
      </c>
    </row>
    <row r="14" spans="1:9" x14ac:dyDescent="0.3">
      <c r="A14" t="s">
        <v>30</v>
      </c>
      <c r="B14" t="s">
        <v>44</v>
      </c>
      <c r="C14" t="s">
        <v>45</v>
      </c>
      <c r="D14">
        <v>2020</v>
      </c>
      <c r="E14">
        <v>850</v>
      </c>
      <c r="F14" t="s">
        <v>24</v>
      </c>
      <c r="G14">
        <v>14757</v>
      </c>
      <c r="H14">
        <v>2622</v>
      </c>
      <c r="I14" t="s">
        <v>25</v>
      </c>
    </row>
    <row r="15" spans="1:9" x14ac:dyDescent="0.3">
      <c r="A15" t="s">
        <v>14</v>
      </c>
      <c r="B15" t="s">
        <v>46</v>
      </c>
      <c r="C15" t="s">
        <v>47</v>
      </c>
      <c r="D15">
        <v>2013</v>
      </c>
      <c r="E15">
        <v>237</v>
      </c>
      <c r="F15" t="s">
        <v>35</v>
      </c>
      <c r="G15">
        <v>9445</v>
      </c>
      <c r="H15">
        <v>13093</v>
      </c>
      <c r="I15" t="s">
        <v>25</v>
      </c>
    </row>
    <row r="16" spans="1:9" x14ac:dyDescent="0.3">
      <c r="A16" t="s">
        <v>30</v>
      </c>
      <c r="B16" t="s">
        <v>19</v>
      </c>
      <c r="C16" t="s">
        <v>48</v>
      </c>
      <c r="D16">
        <v>2022</v>
      </c>
      <c r="E16">
        <v>324</v>
      </c>
      <c r="F16" t="s">
        <v>12</v>
      </c>
      <c r="G16">
        <v>9482</v>
      </c>
      <c r="H16">
        <v>11050</v>
      </c>
      <c r="I16" t="s">
        <v>37</v>
      </c>
    </row>
    <row r="17" spans="1:9" x14ac:dyDescent="0.3">
      <c r="A17" t="s">
        <v>9</v>
      </c>
      <c r="B17" t="s">
        <v>44</v>
      </c>
      <c r="C17" t="s">
        <v>49</v>
      </c>
      <c r="D17">
        <v>2008</v>
      </c>
      <c r="E17">
        <v>622</v>
      </c>
      <c r="F17" t="s">
        <v>12</v>
      </c>
      <c r="G17">
        <v>11403</v>
      </c>
      <c r="H17">
        <v>6580</v>
      </c>
      <c r="I17" t="s">
        <v>37</v>
      </c>
    </row>
    <row r="18" spans="1:9" x14ac:dyDescent="0.3">
      <c r="A18" t="s">
        <v>14</v>
      </c>
      <c r="B18" t="s">
        <v>15</v>
      </c>
      <c r="C18" t="s">
        <v>50</v>
      </c>
      <c r="D18">
        <v>2022</v>
      </c>
      <c r="E18">
        <v>195</v>
      </c>
      <c r="F18" t="s">
        <v>29</v>
      </c>
      <c r="G18">
        <v>12732</v>
      </c>
      <c r="H18">
        <v>12288</v>
      </c>
      <c r="I18" t="s">
        <v>13</v>
      </c>
    </row>
    <row r="19" spans="1:9" x14ac:dyDescent="0.3">
      <c r="A19" t="s">
        <v>9</v>
      </c>
      <c r="B19" t="s">
        <v>46</v>
      </c>
      <c r="C19" t="s">
        <v>51</v>
      </c>
      <c r="D19">
        <v>2006</v>
      </c>
      <c r="E19">
        <v>543</v>
      </c>
      <c r="F19" t="s">
        <v>12</v>
      </c>
      <c r="G19">
        <v>15109</v>
      </c>
      <c r="H19">
        <v>11000</v>
      </c>
      <c r="I19" t="s">
        <v>37</v>
      </c>
    </row>
    <row r="20" spans="1:9" x14ac:dyDescent="0.3">
      <c r="A20" t="s">
        <v>26</v>
      </c>
      <c r="B20" t="s">
        <v>22</v>
      </c>
      <c r="C20" t="s">
        <v>52</v>
      </c>
      <c r="D20">
        <v>1999</v>
      </c>
      <c r="E20">
        <v>181</v>
      </c>
      <c r="F20" t="s">
        <v>29</v>
      </c>
      <c r="G20">
        <v>5550</v>
      </c>
      <c r="H20">
        <v>4293</v>
      </c>
      <c r="I20" t="s">
        <v>13</v>
      </c>
    </row>
    <row r="21" spans="1:9" x14ac:dyDescent="0.3">
      <c r="A21" t="s">
        <v>38</v>
      </c>
      <c r="B21" t="s">
        <v>22</v>
      </c>
      <c r="C21" t="s">
        <v>53</v>
      </c>
      <c r="D21">
        <v>1999</v>
      </c>
      <c r="E21">
        <v>804</v>
      </c>
      <c r="F21" t="s">
        <v>35</v>
      </c>
      <c r="G21">
        <v>14328</v>
      </c>
      <c r="H21">
        <v>12490</v>
      </c>
      <c r="I21" t="s">
        <v>25</v>
      </c>
    </row>
    <row r="22" spans="1:9" x14ac:dyDescent="0.3">
      <c r="A22" t="s">
        <v>30</v>
      </c>
      <c r="B22" t="s">
        <v>54</v>
      </c>
      <c r="C22" t="s">
        <v>55</v>
      </c>
      <c r="D22">
        <v>2018</v>
      </c>
      <c r="E22">
        <v>594</v>
      </c>
      <c r="F22" t="s">
        <v>35</v>
      </c>
      <c r="G22">
        <v>7094</v>
      </c>
      <c r="H22">
        <v>10181</v>
      </c>
      <c r="I22" t="s">
        <v>13</v>
      </c>
    </row>
    <row r="23" spans="1:9" x14ac:dyDescent="0.3">
      <c r="A23" t="s">
        <v>9</v>
      </c>
      <c r="B23" t="s">
        <v>44</v>
      </c>
      <c r="C23" t="s">
        <v>56</v>
      </c>
      <c r="D23">
        <v>2021</v>
      </c>
      <c r="E23">
        <v>562</v>
      </c>
      <c r="F23" t="s">
        <v>32</v>
      </c>
      <c r="G23">
        <v>9998</v>
      </c>
      <c r="H23">
        <v>3333</v>
      </c>
      <c r="I23" t="s">
        <v>25</v>
      </c>
    </row>
    <row r="24" spans="1:9" x14ac:dyDescent="0.3">
      <c r="A24" t="s">
        <v>26</v>
      </c>
      <c r="B24" t="s">
        <v>44</v>
      </c>
      <c r="C24" t="s">
        <v>57</v>
      </c>
      <c r="D24">
        <v>2004</v>
      </c>
      <c r="E24">
        <v>455</v>
      </c>
      <c r="F24" t="s">
        <v>17</v>
      </c>
      <c r="G24">
        <v>13950</v>
      </c>
      <c r="H24">
        <v>10381</v>
      </c>
      <c r="I24" t="s">
        <v>37</v>
      </c>
    </row>
    <row r="25" spans="1:9" x14ac:dyDescent="0.3">
      <c r="A25" t="s">
        <v>18</v>
      </c>
      <c r="B25" t="s">
        <v>19</v>
      </c>
      <c r="C25" t="s">
        <v>58</v>
      </c>
      <c r="D25">
        <v>2004</v>
      </c>
      <c r="E25">
        <v>695</v>
      </c>
      <c r="F25" t="s">
        <v>29</v>
      </c>
      <c r="G25">
        <v>13546</v>
      </c>
      <c r="H25">
        <v>3931</v>
      </c>
      <c r="I25" t="s">
        <v>25</v>
      </c>
    </row>
    <row r="26" spans="1:9" x14ac:dyDescent="0.3">
      <c r="A26" t="s">
        <v>26</v>
      </c>
      <c r="B26" t="s">
        <v>44</v>
      </c>
      <c r="C26" t="s">
        <v>59</v>
      </c>
      <c r="D26">
        <v>2006</v>
      </c>
      <c r="E26">
        <v>276</v>
      </c>
      <c r="F26" t="s">
        <v>41</v>
      </c>
      <c r="G26">
        <v>13017</v>
      </c>
      <c r="H26">
        <v>12390</v>
      </c>
      <c r="I26" t="s">
        <v>13</v>
      </c>
    </row>
    <row r="27" spans="1:9" x14ac:dyDescent="0.3">
      <c r="A27" t="s">
        <v>26</v>
      </c>
      <c r="B27" t="s">
        <v>27</v>
      </c>
      <c r="C27" t="s">
        <v>60</v>
      </c>
      <c r="D27">
        <v>2000</v>
      </c>
      <c r="E27">
        <v>369</v>
      </c>
      <c r="F27" t="s">
        <v>29</v>
      </c>
      <c r="G27">
        <v>11367</v>
      </c>
      <c r="H27">
        <v>8111</v>
      </c>
      <c r="I27" t="s">
        <v>13</v>
      </c>
    </row>
    <row r="28" spans="1:9" x14ac:dyDescent="0.3">
      <c r="A28" t="s">
        <v>38</v>
      </c>
      <c r="B28" t="s">
        <v>54</v>
      </c>
      <c r="C28" t="s">
        <v>61</v>
      </c>
      <c r="D28">
        <v>1998</v>
      </c>
      <c r="E28">
        <v>216</v>
      </c>
      <c r="F28" t="s">
        <v>41</v>
      </c>
      <c r="G28">
        <v>8845</v>
      </c>
      <c r="H28">
        <v>13751</v>
      </c>
      <c r="I28" t="s">
        <v>13</v>
      </c>
    </row>
    <row r="29" spans="1:9" x14ac:dyDescent="0.3">
      <c r="A29" t="s">
        <v>38</v>
      </c>
      <c r="B29" t="s">
        <v>46</v>
      </c>
      <c r="C29" t="s">
        <v>62</v>
      </c>
      <c r="D29">
        <v>2007</v>
      </c>
      <c r="E29">
        <v>556</v>
      </c>
      <c r="F29" t="s">
        <v>12</v>
      </c>
      <c r="G29">
        <v>8416</v>
      </c>
      <c r="H29">
        <v>10698</v>
      </c>
      <c r="I29" t="s">
        <v>37</v>
      </c>
    </row>
    <row r="30" spans="1:9" x14ac:dyDescent="0.3">
      <c r="A30" t="s">
        <v>18</v>
      </c>
      <c r="B30" t="s">
        <v>19</v>
      </c>
      <c r="C30" t="s">
        <v>63</v>
      </c>
      <c r="D30">
        <v>2016</v>
      </c>
      <c r="E30">
        <v>117</v>
      </c>
      <c r="F30" t="s">
        <v>24</v>
      </c>
      <c r="G30">
        <v>12893</v>
      </c>
      <c r="H30">
        <v>11737</v>
      </c>
      <c r="I30" t="s">
        <v>37</v>
      </c>
    </row>
    <row r="31" spans="1:9" x14ac:dyDescent="0.3">
      <c r="A31" t="s">
        <v>38</v>
      </c>
      <c r="B31" t="s">
        <v>54</v>
      </c>
      <c r="C31" t="s">
        <v>64</v>
      </c>
      <c r="D31">
        <v>2012</v>
      </c>
      <c r="E31">
        <v>823</v>
      </c>
      <c r="F31" t="s">
        <v>41</v>
      </c>
      <c r="G31">
        <v>15226</v>
      </c>
      <c r="H31">
        <v>4749</v>
      </c>
      <c r="I31" t="s">
        <v>37</v>
      </c>
    </row>
    <row r="32" spans="1:9" x14ac:dyDescent="0.3">
      <c r="A32" t="s">
        <v>26</v>
      </c>
      <c r="B32" t="s">
        <v>54</v>
      </c>
      <c r="C32" t="s">
        <v>65</v>
      </c>
      <c r="D32">
        <v>2003</v>
      </c>
      <c r="E32">
        <v>451</v>
      </c>
      <c r="F32" t="s">
        <v>29</v>
      </c>
      <c r="G32">
        <v>15056</v>
      </c>
      <c r="H32">
        <v>2899</v>
      </c>
      <c r="I32" t="s">
        <v>13</v>
      </c>
    </row>
    <row r="33" spans="1:9" x14ac:dyDescent="0.3">
      <c r="A33" t="s">
        <v>38</v>
      </c>
      <c r="B33" t="s">
        <v>27</v>
      </c>
      <c r="C33" t="s">
        <v>66</v>
      </c>
      <c r="D33">
        <v>2002</v>
      </c>
      <c r="E33">
        <v>509</v>
      </c>
      <c r="F33" t="s">
        <v>12</v>
      </c>
      <c r="G33">
        <v>6076</v>
      </c>
      <c r="H33">
        <v>6893</v>
      </c>
      <c r="I33" t="s">
        <v>13</v>
      </c>
    </row>
    <row r="34" spans="1:9" x14ac:dyDescent="0.3">
      <c r="A34" t="s">
        <v>21</v>
      </c>
      <c r="B34" t="s">
        <v>22</v>
      </c>
      <c r="C34" t="s">
        <v>67</v>
      </c>
      <c r="D34">
        <v>2004</v>
      </c>
      <c r="E34">
        <v>332</v>
      </c>
      <c r="F34" t="s">
        <v>29</v>
      </c>
      <c r="G34">
        <v>13476</v>
      </c>
      <c r="H34">
        <v>11350</v>
      </c>
      <c r="I34" t="s">
        <v>37</v>
      </c>
    </row>
    <row r="35" spans="1:9" x14ac:dyDescent="0.3">
      <c r="A35" t="s">
        <v>9</v>
      </c>
      <c r="B35" t="s">
        <v>54</v>
      </c>
      <c r="C35" t="s">
        <v>68</v>
      </c>
      <c r="D35">
        <v>2005</v>
      </c>
      <c r="E35">
        <v>168</v>
      </c>
      <c r="F35" t="s">
        <v>29</v>
      </c>
      <c r="G35">
        <v>12940</v>
      </c>
      <c r="H35">
        <v>13199</v>
      </c>
      <c r="I35" t="s">
        <v>37</v>
      </c>
    </row>
    <row r="36" spans="1:9" x14ac:dyDescent="0.3">
      <c r="A36" t="s">
        <v>26</v>
      </c>
      <c r="B36" t="s">
        <v>15</v>
      </c>
      <c r="C36" t="s">
        <v>69</v>
      </c>
      <c r="D36">
        <v>2014</v>
      </c>
      <c r="E36">
        <v>245</v>
      </c>
      <c r="F36" t="s">
        <v>17</v>
      </c>
      <c r="G36">
        <v>15415</v>
      </c>
      <c r="H36">
        <v>13868</v>
      </c>
      <c r="I36" t="s">
        <v>37</v>
      </c>
    </row>
    <row r="37" spans="1:9" x14ac:dyDescent="0.3">
      <c r="A37" t="s">
        <v>26</v>
      </c>
      <c r="B37" t="s">
        <v>19</v>
      </c>
      <c r="C37" t="s">
        <v>70</v>
      </c>
      <c r="D37">
        <v>2006</v>
      </c>
      <c r="E37">
        <v>290</v>
      </c>
      <c r="F37" t="s">
        <v>12</v>
      </c>
      <c r="G37">
        <v>8057</v>
      </c>
      <c r="H37">
        <v>2538</v>
      </c>
      <c r="I37" t="s">
        <v>25</v>
      </c>
    </row>
    <row r="38" spans="1:9" x14ac:dyDescent="0.3">
      <c r="A38" t="s">
        <v>9</v>
      </c>
      <c r="B38" t="s">
        <v>54</v>
      </c>
      <c r="C38" t="s">
        <v>71</v>
      </c>
      <c r="D38">
        <v>2020</v>
      </c>
      <c r="E38">
        <v>801</v>
      </c>
      <c r="F38" t="s">
        <v>17</v>
      </c>
      <c r="G38">
        <v>13381</v>
      </c>
      <c r="H38">
        <v>2201</v>
      </c>
      <c r="I38" t="s">
        <v>25</v>
      </c>
    </row>
    <row r="39" spans="1:9" x14ac:dyDescent="0.3">
      <c r="A39" t="s">
        <v>33</v>
      </c>
      <c r="B39" t="s">
        <v>54</v>
      </c>
      <c r="C39" t="s">
        <v>72</v>
      </c>
      <c r="D39">
        <v>2006</v>
      </c>
      <c r="E39">
        <v>486</v>
      </c>
      <c r="F39" t="s">
        <v>32</v>
      </c>
      <c r="G39">
        <v>13259</v>
      </c>
      <c r="H39">
        <v>12891</v>
      </c>
      <c r="I39" t="s">
        <v>25</v>
      </c>
    </row>
    <row r="40" spans="1:9" x14ac:dyDescent="0.3">
      <c r="A40" t="s">
        <v>21</v>
      </c>
      <c r="B40" t="s">
        <v>22</v>
      </c>
      <c r="C40" t="s">
        <v>73</v>
      </c>
      <c r="D40">
        <v>2005</v>
      </c>
      <c r="E40">
        <v>850</v>
      </c>
      <c r="F40" t="s">
        <v>35</v>
      </c>
      <c r="G40">
        <v>9129</v>
      </c>
      <c r="H40">
        <v>9197</v>
      </c>
      <c r="I40" t="s">
        <v>37</v>
      </c>
    </row>
    <row r="41" spans="1:9" x14ac:dyDescent="0.3">
      <c r="A41" t="s">
        <v>14</v>
      </c>
      <c r="B41" t="s">
        <v>22</v>
      </c>
      <c r="C41" t="s">
        <v>74</v>
      </c>
      <c r="D41">
        <v>2005</v>
      </c>
      <c r="E41">
        <v>139</v>
      </c>
      <c r="F41" t="s">
        <v>41</v>
      </c>
      <c r="G41">
        <v>12143</v>
      </c>
      <c r="H41">
        <v>8946</v>
      </c>
      <c r="I41" t="s">
        <v>25</v>
      </c>
    </row>
    <row r="42" spans="1:9" x14ac:dyDescent="0.3">
      <c r="A42" t="s">
        <v>9</v>
      </c>
      <c r="B42" t="s">
        <v>15</v>
      </c>
      <c r="C42" t="s">
        <v>75</v>
      </c>
      <c r="D42">
        <v>2004</v>
      </c>
      <c r="E42">
        <v>571</v>
      </c>
      <c r="F42" t="s">
        <v>35</v>
      </c>
      <c r="G42">
        <v>10410</v>
      </c>
      <c r="H42">
        <v>6169</v>
      </c>
      <c r="I42" t="s">
        <v>13</v>
      </c>
    </row>
    <row r="43" spans="1:9" x14ac:dyDescent="0.3">
      <c r="A43" t="s">
        <v>26</v>
      </c>
      <c r="B43" t="s">
        <v>54</v>
      </c>
      <c r="C43" t="s">
        <v>76</v>
      </c>
      <c r="D43">
        <v>2004</v>
      </c>
      <c r="E43">
        <v>362</v>
      </c>
      <c r="F43" t="s">
        <v>29</v>
      </c>
      <c r="G43">
        <v>10059</v>
      </c>
      <c r="H43">
        <v>12465</v>
      </c>
      <c r="I43" t="s">
        <v>37</v>
      </c>
    </row>
    <row r="44" spans="1:9" x14ac:dyDescent="0.3">
      <c r="A44" t="s">
        <v>14</v>
      </c>
      <c r="B44" t="s">
        <v>10</v>
      </c>
      <c r="C44" t="s">
        <v>77</v>
      </c>
      <c r="D44">
        <v>2013</v>
      </c>
      <c r="E44">
        <v>562</v>
      </c>
      <c r="F44" t="s">
        <v>32</v>
      </c>
      <c r="G44">
        <v>11073</v>
      </c>
      <c r="H44">
        <v>6655</v>
      </c>
      <c r="I44" t="s">
        <v>37</v>
      </c>
    </row>
    <row r="45" spans="1:9" x14ac:dyDescent="0.3">
      <c r="A45" t="s">
        <v>9</v>
      </c>
      <c r="B45" t="s">
        <v>19</v>
      </c>
      <c r="C45" t="s">
        <v>78</v>
      </c>
      <c r="D45">
        <v>2000</v>
      </c>
      <c r="E45">
        <v>274</v>
      </c>
      <c r="F45" t="s">
        <v>35</v>
      </c>
      <c r="G45">
        <v>8207</v>
      </c>
      <c r="H45">
        <v>5502</v>
      </c>
      <c r="I45" t="s">
        <v>13</v>
      </c>
    </row>
    <row r="46" spans="1:9" x14ac:dyDescent="0.3">
      <c r="A46" t="s">
        <v>9</v>
      </c>
      <c r="B46" t="s">
        <v>44</v>
      </c>
      <c r="C46" t="s">
        <v>79</v>
      </c>
      <c r="D46">
        <v>2020</v>
      </c>
      <c r="E46">
        <v>734</v>
      </c>
      <c r="F46" t="s">
        <v>12</v>
      </c>
      <c r="G46">
        <v>10651</v>
      </c>
      <c r="H46">
        <v>8045</v>
      </c>
      <c r="I46" t="s">
        <v>13</v>
      </c>
    </row>
    <row r="47" spans="1:9" x14ac:dyDescent="0.3">
      <c r="A47" t="s">
        <v>14</v>
      </c>
      <c r="B47" t="s">
        <v>10</v>
      </c>
      <c r="C47" t="s">
        <v>80</v>
      </c>
      <c r="D47">
        <v>2013</v>
      </c>
      <c r="E47">
        <v>647</v>
      </c>
      <c r="F47" t="s">
        <v>12</v>
      </c>
      <c r="G47">
        <v>6482</v>
      </c>
      <c r="H47">
        <v>5690</v>
      </c>
      <c r="I47" t="s">
        <v>37</v>
      </c>
    </row>
    <row r="48" spans="1:9" x14ac:dyDescent="0.3">
      <c r="A48" t="s">
        <v>38</v>
      </c>
      <c r="B48" t="s">
        <v>22</v>
      </c>
      <c r="C48" t="s">
        <v>81</v>
      </c>
      <c r="D48">
        <v>2015</v>
      </c>
      <c r="E48">
        <v>790</v>
      </c>
      <c r="F48" t="s">
        <v>12</v>
      </c>
      <c r="G48">
        <v>10023</v>
      </c>
      <c r="H48">
        <v>13857</v>
      </c>
      <c r="I48" t="s">
        <v>13</v>
      </c>
    </row>
    <row r="49" spans="1:9" x14ac:dyDescent="0.3">
      <c r="A49" t="s">
        <v>38</v>
      </c>
      <c r="B49" t="s">
        <v>27</v>
      </c>
      <c r="C49" t="s">
        <v>82</v>
      </c>
      <c r="D49">
        <v>1995</v>
      </c>
      <c r="E49">
        <v>614</v>
      </c>
      <c r="F49" t="s">
        <v>17</v>
      </c>
      <c r="G49">
        <v>11813</v>
      </c>
      <c r="H49">
        <v>13696</v>
      </c>
      <c r="I49" t="s">
        <v>13</v>
      </c>
    </row>
    <row r="50" spans="1:9" x14ac:dyDescent="0.3">
      <c r="A50" t="s">
        <v>9</v>
      </c>
      <c r="B50" t="s">
        <v>19</v>
      </c>
      <c r="C50" t="s">
        <v>83</v>
      </c>
      <c r="D50">
        <v>1998</v>
      </c>
      <c r="E50">
        <v>749</v>
      </c>
      <c r="F50" t="s">
        <v>41</v>
      </c>
      <c r="G50">
        <v>6211</v>
      </c>
      <c r="H50">
        <v>10545</v>
      </c>
      <c r="I50" t="s">
        <v>37</v>
      </c>
    </row>
    <row r="51" spans="1:9" x14ac:dyDescent="0.3">
      <c r="A51" t="s">
        <v>30</v>
      </c>
      <c r="B51" t="s">
        <v>54</v>
      </c>
      <c r="C51" t="s">
        <v>84</v>
      </c>
      <c r="D51">
        <v>1998</v>
      </c>
      <c r="E51">
        <v>139</v>
      </c>
      <c r="F51" t="s">
        <v>41</v>
      </c>
      <c r="G51">
        <v>7328</v>
      </c>
      <c r="H51">
        <v>4893</v>
      </c>
      <c r="I51" t="s">
        <v>13</v>
      </c>
    </row>
  </sheetData>
  <conditionalFormatting sqref="C1:C1048576">
    <cfRule type="duplicateValues" dxfId="15" priority="1"/>
    <cfRule type="duplicateValues" dxfId="14"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EF3F-25F5-40F9-B9B3-B5ACACBDE787}">
  <dimension ref="A1:P51"/>
  <sheetViews>
    <sheetView topLeftCell="G1" workbookViewId="0">
      <selection activeCell="J4" sqref="J4"/>
    </sheetView>
  </sheetViews>
  <sheetFormatPr defaultRowHeight="14.4" x14ac:dyDescent="0.3"/>
  <cols>
    <col min="1" max="1" width="17.6640625" customWidth="1"/>
    <col min="2" max="2" width="19" customWidth="1"/>
    <col min="3" max="3" width="16.6640625" customWidth="1"/>
    <col min="4" max="4" width="11.21875" customWidth="1"/>
    <col min="6" max="6" width="22.109375" customWidth="1"/>
    <col min="7" max="7" width="13.6640625" customWidth="1"/>
    <col min="8" max="8" width="15.5546875" customWidth="1"/>
    <col min="9" max="9" width="18.77734375" customWidth="1"/>
    <col min="10" max="10" width="23.21875" customWidth="1"/>
    <col min="11" max="11" width="28.6640625" customWidth="1"/>
    <col min="12" max="12" width="27.77734375" customWidth="1"/>
    <col min="13" max="13" width="21.33203125" customWidth="1"/>
    <col min="14" max="14" width="19.88671875" customWidth="1"/>
    <col min="15" max="15" width="17.88671875" customWidth="1"/>
    <col min="16" max="16" width="18.33203125" customWidth="1"/>
  </cols>
  <sheetData>
    <row r="1" spans="1:16" x14ac:dyDescent="0.3">
      <c r="A1" t="s">
        <v>0</v>
      </c>
      <c r="B1" t="s">
        <v>1</v>
      </c>
      <c r="C1" t="s">
        <v>2</v>
      </c>
      <c r="D1" t="s">
        <v>3</v>
      </c>
      <c r="E1" t="s">
        <v>4</v>
      </c>
      <c r="F1" t="s">
        <v>5</v>
      </c>
      <c r="G1" t="s">
        <v>6</v>
      </c>
      <c r="H1" t="s">
        <v>7</v>
      </c>
      <c r="I1" t="s">
        <v>8</v>
      </c>
      <c r="J1" t="s">
        <v>86</v>
      </c>
      <c r="K1" t="s">
        <v>87</v>
      </c>
      <c r="L1" t="s">
        <v>100</v>
      </c>
      <c r="M1" t="s">
        <v>88</v>
      </c>
      <c r="N1" t="s">
        <v>110</v>
      </c>
      <c r="O1" t="s">
        <v>95</v>
      </c>
      <c r="P1" t="s">
        <v>108</v>
      </c>
    </row>
    <row r="2" spans="1:16" x14ac:dyDescent="0.3">
      <c r="A2" t="s">
        <v>9</v>
      </c>
      <c r="B2" t="s">
        <v>10</v>
      </c>
      <c r="C2" t="s">
        <v>11</v>
      </c>
      <c r="D2">
        <v>2014</v>
      </c>
      <c r="E2">
        <v>187</v>
      </c>
      <c r="F2" t="s">
        <v>12</v>
      </c>
      <c r="G2">
        <v>15529</v>
      </c>
      <c r="H2">
        <v>2875</v>
      </c>
      <c r="I2" t="s">
        <v>13</v>
      </c>
      <c r="J2">
        <f>_xlfn.XLOOKUP(Fleet_Inventory[[#This Row],[Engine_Type]],Policy_Table[Engine_Type],Policy_Table[Service_Interval_Hours],"Check Engine Type")</f>
        <v>21000</v>
      </c>
      <c r="K2">
        <f>(2026-Fleet_Inventory[[#This Row],[Year_Built]])*2000</f>
        <v>24000</v>
      </c>
      <c r="L2">
        <f>Fleet_Inventory[[#This Row],[Maintenance_Threshold]] - MOD(Fleet_Inventory[[#This Row],[Estimated_Total_Hours]], Fleet_Inventory[[#This Row],[Maintenance_Threshold]])</f>
        <v>18000</v>
      </c>
      <c r="M2">
        <f>INT(Fleet_Inventory[[#This Row],[Estimated_Total_Hours]] / Fleet_Inventory[[#This Row],[Maintenance_Threshold]]) + 1</f>
        <v>2</v>
      </c>
      <c r="N2" t="str" cm="1">
        <f t="array" ref="N2">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
        <f>Fleet_Inventory[[#This Row],[Fuel_Burn_L_hr]]/Fleet_Inventory[[#This Row],[Seats]]</f>
        <v>15.37433155080214</v>
      </c>
      <c r="P2">
        <f>IF(Fleet_Inventory[[#This Row],[Readiness Status]]="Mission Restricted", 1, 0)</f>
        <v>0</v>
      </c>
    </row>
    <row r="3" spans="1:16" x14ac:dyDescent="0.3">
      <c r="A3" t="s">
        <v>14</v>
      </c>
      <c r="B3" t="s">
        <v>15</v>
      </c>
      <c r="C3" t="s">
        <v>16</v>
      </c>
      <c r="D3">
        <v>1998</v>
      </c>
      <c r="E3">
        <v>769</v>
      </c>
      <c r="F3" t="s">
        <v>17</v>
      </c>
      <c r="G3">
        <v>7880</v>
      </c>
      <c r="H3">
        <v>11764</v>
      </c>
      <c r="I3" t="s">
        <v>13</v>
      </c>
      <c r="J3">
        <f>_xlfn.XLOOKUP(Fleet_Inventory[[#This Row],[Engine_Type]],Policy_Table[Engine_Type],Policy_Table[Service_Interval_Hours],"Check Engine Type")</f>
        <v>14000</v>
      </c>
      <c r="K3">
        <f>(2026-Fleet_Inventory[[#This Row],[Year_Built]])*2000</f>
        <v>56000</v>
      </c>
      <c r="L3">
        <f>Fleet_Inventory[[#This Row],[Maintenance_Threshold]] - MOD(Fleet_Inventory[[#This Row],[Estimated_Total_Hours]], Fleet_Inventory[[#This Row],[Maintenance_Threshold]])</f>
        <v>14000</v>
      </c>
      <c r="M3">
        <f>INT(Fleet_Inventory[[#This Row],[Estimated_Total_Hours]] / Fleet_Inventory[[#This Row],[Maintenance_Threshold]]) + 1</f>
        <v>5</v>
      </c>
      <c r="N3" t="str" cm="1">
        <f t="array" ref="N3">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3">
        <f>Fleet_Inventory[[#This Row],[Fuel_Burn_L_hr]]/Fleet_Inventory[[#This Row],[Seats]]</f>
        <v>15.29778933680104</v>
      </c>
      <c r="P3">
        <f>IF(Fleet_Inventory[[#This Row],[Readiness Status]]="Mission Restricted", 1, 0)</f>
        <v>0</v>
      </c>
    </row>
    <row r="4" spans="1:16" x14ac:dyDescent="0.3">
      <c r="A4" t="s">
        <v>18</v>
      </c>
      <c r="B4" t="s">
        <v>19</v>
      </c>
      <c r="C4" t="s">
        <v>20</v>
      </c>
      <c r="D4">
        <v>2011</v>
      </c>
      <c r="E4">
        <v>151</v>
      </c>
      <c r="F4" t="s">
        <v>12</v>
      </c>
      <c r="G4">
        <v>11921</v>
      </c>
      <c r="H4">
        <v>12380</v>
      </c>
      <c r="I4" t="s">
        <v>13</v>
      </c>
      <c r="J4">
        <f>_xlfn.XLOOKUP(Fleet_Inventory[[#This Row],[Engine_Type]],Policy_Table[Engine_Type],Policy_Table[Service_Interval_Hours],"Check Engine Type")</f>
        <v>21000</v>
      </c>
      <c r="K4">
        <f>(2026-Fleet_Inventory[[#This Row],[Year_Built]])*2000</f>
        <v>30000</v>
      </c>
      <c r="L4">
        <f>Fleet_Inventory[[#This Row],[Maintenance_Threshold]] - MOD(Fleet_Inventory[[#This Row],[Estimated_Total_Hours]], Fleet_Inventory[[#This Row],[Maintenance_Threshold]])</f>
        <v>12000</v>
      </c>
      <c r="M4">
        <f>INT(Fleet_Inventory[[#This Row],[Estimated_Total_Hours]] / Fleet_Inventory[[#This Row],[Maintenance_Threshold]]) + 1</f>
        <v>2</v>
      </c>
      <c r="N4" t="str" cm="1">
        <f t="array" ref="N4">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
        <f>Fleet_Inventory[[#This Row],[Fuel_Burn_L_hr]]/Fleet_Inventory[[#This Row],[Seats]]</f>
        <v>81.986754966887418</v>
      </c>
      <c r="P4">
        <f>IF(Fleet_Inventory[[#This Row],[Readiness Status]]="Mission Restricted", 1, 0)</f>
        <v>0</v>
      </c>
    </row>
    <row r="5" spans="1:16" x14ac:dyDescent="0.3">
      <c r="A5" t="s">
        <v>21</v>
      </c>
      <c r="B5" t="s">
        <v>22</v>
      </c>
      <c r="C5" t="s">
        <v>23</v>
      </c>
      <c r="D5">
        <v>2013</v>
      </c>
      <c r="E5">
        <v>294</v>
      </c>
      <c r="F5" t="s">
        <v>24</v>
      </c>
      <c r="G5">
        <v>6948</v>
      </c>
      <c r="H5">
        <v>11077</v>
      </c>
      <c r="I5" t="s">
        <v>25</v>
      </c>
      <c r="J5">
        <f>_xlfn.XLOOKUP(Fleet_Inventory[[#This Row],[Engine_Type]],Policy_Table[Engine_Type],Policy_Table[Service_Interval_Hours],"Check Engine Type")</f>
        <v>12000</v>
      </c>
      <c r="K5">
        <f>(2026-Fleet_Inventory[[#This Row],[Year_Built]])*2000</f>
        <v>26000</v>
      </c>
      <c r="L5">
        <f>Fleet_Inventory[[#This Row],[Maintenance_Threshold]] - MOD(Fleet_Inventory[[#This Row],[Estimated_Total_Hours]], Fleet_Inventory[[#This Row],[Maintenance_Threshold]])</f>
        <v>10000</v>
      </c>
      <c r="M5">
        <f>INT(Fleet_Inventory[[#This Row],[Estimated_Total_Hours]] / Fleet_Inventory[[#This Row],[Maintenance_Threshold]]) + 1</f>
        <v>3</v>
      </c>
      <c r="N5" t="str" cm="1">
        <f t="array" ref="N5">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5">
        <f>Fleet_Inventory[[#This Row],[Fuel_Burn_L_hr]]/Fleet_Inventory[[#This Row],[Seats]]</f>
        <v>37.676870748299322</v>
      </c>
      <c r="P5">
        <f>IF(Fleet_Inventory[[#This Row],[Readiness Status]]="Mission Restricted", 1, 0)</f>
        <v>0</v>
      </c>
    </row>
    <row r="6" spans="1:16" x14ac:dyDescent="0.3">
      <c r="A6" t="s">
        <v>26</v>
      </c>
      <c r="B6" t="s">
        <v>27</v>
      </c>
      <c r="C6" t="s">
        <v>28</v>
      </c>
      <c r="D6">
        <v>2020</v>
      </c>
      <c r="E6">
        <v>778</v>
      </c>
      <c r="F6" t="s">
        <v>29</v>
      </c>
      <c r="G6">
        <v>12185</v>
      </c>
      <c r="H6">
        <v>2168</v>
      </c>
      <c r="I6" t="s">
        <v>13</v>
      </c>
      <c r="J6">
        <f>_xlfn.XLOOKUP(Fleet_Inventory[[#This Row],[Engine_Type]],Policy_Table[Engine_Type],Policy_Table[Service_Interval_Hours],"Check Engine Type")</f>
        <v>20000</v>
      </c>
      <c r="K6">
        <f>(2026-Fleet_Inventory[[#This Row],[Year_Built]])*2000</f>
        <v>12000</v>
      </c>
      <c r="L6">
        <f>Fleet_Inventory[[#This Row],[Maintenance_Threshold]] - MOD(Fleet_Inventory[[#This Row],[Estimated_Total_Hours]], Fleet_Inventory[[#This Row],[Maintenance_Threshold]])</f>
        <v>8000</v>
      </c>
      <c r="M6">
        <f>INT(Fleet_Inventory[[#This Row],[Estimated_Total_Hours]] / Fleet_Inventory[[#This Row],[Maintenance_Threshold]]) + 1</f>
        <v>1</v>
      </c>
      <c r="N6" t="str" cm="1">
        <f t="array" ref="N6">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6">
        <f>Fleet_Inventory[[#This Row],[Fuel_Burn_L_hr]]/Fleet_Inventory[[#This Row],[Seats]]</f>
        <v>2.7866323907455013</v>
      </c>
      <c r="P6">
        <f>IF(Fleet_Inventory[[#This Row],[Readiness Status]]="Mission Restricted", 1, 0)</f>
        <v>0</v>
      </c>
    </row>
    <row r="7" spans="1:16" x14ac:dyDescent="0.3">
      <c r="A7" t="s">
        <v>30</v>
      </c>
      <c r="B7" t="s">
        <v>22</v>
      </c>
      <c r="C7" t="s">
        <v>31</v>
      </c>
      <c r="D7">
        <v>2017</v>
      </c>
      <c r="E7">
        <v>551</v>
      </c>
      <c r="F7" t="s">
        <v>32</v>
      </c>
      <c r="G7">
        <v>9784</v>
      </c>
      <c r="H7">
        <v>7775</v>
      </c>
      <c r="I7" t="s">
        <v>13</v>
      </c>
      <c r="J7">
        <f>_xlfn.XLOOKUP(Fleet_Inventory[[#This Row],[Engine_Type]],Policy_Table[Engine_Type],Policy_Table[Service_Interval_Hours],"Check Engine Type")</f>
        <v>17000</v>
      </c>
      <c r="K7">
        <f>(2026-Fleet_Inventory[[#This Row],[Year_Built]])*2000</f>
        <v>18000</v>
      </c>
      <c r="L7">
        <f>Fleet_Inventory[[#This Row],[Maintenance_Threshold]] - MOD(Fleet_Inventory[[#This Row],[Estimated_Total_Hours]], Fleet_Inventory[[#This Row],[Maintenance_Threshold]])</f>
        <v>16000</v>
      </c>
      <c r="M7">
        <f>INT(Fleet_Inventory[[#This Row],[Estimated_Total_Hours]] / Fleet_Inventory[[#This Row],[Maintenance_Threshold]]) + 1</f>
        <v>2</v>
      </c>
      <c r="N7" t="str" cm="1">
        <f t="array" ref="N7">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7">
        <f>Fleet_Inventory[[#This Row],[Fuel_Burn_L_hr]]/Fleet_Inventory[[#This Row],[Seats]]</f>
        <v>14.11070780399274</v>
      </c>
      <c r="P7">
        <f>IF(Fleet_Inventory[[#This Row],[Readiness Status]]="Mission Restricted", 1, 0)</f>
        <v>0</v>
      </c>
    </row>
    <row r="8" spans="1:16" x14ac:dyDescent="0.3">
      <c r="A8" t="s">
        <v>33</v>
      </c>
      <c r="B8" t="s">
        <v>19</v>
      </c>
      <c r="C8" t="s">
        <v>34</v>
      </c>
      <c r="D8">
        <v>2019</v>
      </c>
      <c r="E8">
        <v>553</v>
      </c>
      <c r="F8" t="s">
        <v>35</v>
      </c>
      <c r="G8">
        <v>13780</v>
      </c>
      <c r="H8">
        <v>11834</v>
      </c>
      <c r="I8" t="s">
        <v>13</v>
      </c>
      <c r="J8">
        <f>_xlfn.XLOOKUP(Fleet_Inventory[[#This Row],[Engine_Type]],Policy_Table[Engine_Type],Policy_Table[Service_Interval_Hours],"Check Engine Type")</f>
        <v>12000</v>
      </c>
      <c r="K8">
        <f>(2026-Fleet_Inventory[[#This Row],[Year_Built]])*2000</f>
        <v>14000</v>
      </c>
      <c r="L8">
        <f>Fleet_Inventory[[#This Row],[Maintenance_Threshold]] - MOD(Fleet_Inventory[[#This Row],[Estimated_Total_Hours]], Fleet_Inventory[[#This Row],[Maintenance_Threshold]])</f>
        <v>10000</v>
      </c>
      <c r="M8">
        <f>INT(Fleet_Inventory[[#This Row],[Estimated_Total_Hours]] / Fleet_Inventory[[#This Row],[Maintenance_Threshold]]) + 1</f>
        <v>2</v>
      </c>
      <c r="N8" t="str" cm="1">
        <f t="array" ref="N8">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8">
        <f>Fleet_Inventory[[#This Row],[Fuel_Burn_L_hr]]/Fleet_Inventory[[#This Row],[Seats]]</f>
        <v>21.399638336347198</v>
      </c>
      <c r="P8">
        <f>IF(Fleet_Inventory[[#This Row],[Readiness Status]]="Mission Restricted", 1, 0)</f>
        <v>0</v>
      </c>
    </row>
    <row r="9" spans="1:16" x14ac:dyDescent="0.3">
      <c r="A9" t="s">
        <v>26</v>
      </c>
      <c r="B9" t="s">
        <v>19</v>
      </c>
      <c r="C9" t="s">
        <v>36</v>
      </c>
      <c r="D9">
        <v>2015</v>
      </c>
      <c r="E9">
        <v>484</v>
      </c>
      <c r="F9" t="s">
        <v>35</v>
      </c>
      <c r="G9">
        <v>13959</v>
      </c>
      <c r="H9">
        <v>4106</v>
      </c>
      <c r="I9" t="s">
        <v>37</v>
      </c>
      <c r="J9">
        <f>_xlfn.XLOOKUP(Fleet_Inventory[[#This Row],[Engine_Type]],Policy_Table[Engine_Type],Policy_Table[Service_Interval_Hours],"Check Engine Type")</f>
        <v>12000</v>
      </c>
      <c r="K9">
        <f>(2026-Fleet_Inventory[[#This Row],[Year_Built]])*2000</f>
        <v>22000</v>
      </c>
      <c r="L9">
        <f>Fleet_Inventory[[#This Row],[Maintenance_Threshold]] - MOD(Fleet_Inventory[[#This Row],[Estimated_Total_Hours]], Fleet_Inventory[[#This Row],[Maintenance_Threshold]])</f>
        <v>2000</v>
      </c>
      <c r="M9">
        <f>INT(Fleet_Inventory[[#This Row],[Estimated_Total_Hours]] / Fleet_Inventory[[#This Row],[Maintenance_Threshold]]) + 1</f>
        <v>2</v>
      </c>
      <c r="N9" t="str" cm="1">
        <f t="array" ref="N9">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9">
        <f>Fleet_Inventory[[#This Row],[Fuel_Burn_L_hr]]/Fleet_Inventory[[#This Row],[Seats]]</f>
        <v>8.4834710743801658</v>
      </c>
      <c r="P9">
        <f>IF(Fleet_Inventory[[#This Row],[Readiness Status]]="Mission Restricted", 1, 0)</f>
        <v>1</v>
      </c>
    </row>
    <row r="10" spans="1:16" x14ac:dyDescent="0.3">
      <c r="A10" t="s">
        <v>38</v>
      </c>
      <c r="B10" t="s">
        <v>22</v>
      </c>
      <c r="C10" t="s">
        <v>39</v>
      </c>
      <c r="D10">
        <v>2009</v>
      </c>
      <c r="E10">
        <v>511</v>
      </c>
      <c r="F10" t="s">
        <v>24</v>
      </c>
      <c r="G10">
        <v>10902</v>
      </c>
      <c r="H10">
        <v>2173</v>
      </c>
      <c r="I10" t="s">
        <v>25</v>
      </c>
      <c r="J10">
        <f>_xlfn.XLOOKUP(Fleet_Inventory[[#This Row],[Engine_Type]],Policy_Table[Engine_Type],Policy_Table[Service_Interval_Hours],"Check Engine Type")</f>
        <v>12000</v>
      </c>
      <c r="K10">
        <f>(2026-Fleet_Inventory[[#This Row],[Year_Built]])*2000</f>
        <v>34000</v>
      </c>
      <c r="L10">
        <f>Fleet_Inventory[[#This Row],[Maintenance_Threshold]] - MOD(Fleet_Inventory[[#This Row],[Estimated_Total_Hours]], Fleet_Inventory[[#This Row],[Maintenance_Threshold]])</f>
        <v>2000</v>
      </c>
      <c r="M10">
        <f>INT(Fleet_Inventory[[#This Row],[Estimated_Total_Hours]] / Fleet_Inventory[[#This Row],[Maintenance_Threshold]]) + 1</f>
        <v>3</v>
      </c>
      <c r="N10" t="str" cm="1">
        <f t="array" ref="N10">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10">
        <f>Fleet_Inventory[[#This Row],[Fuel_Burn_L_hr]]/Fleet_Inventory[[#This Row],[Seats]]</f>
        <v>4.2524461839530332</v>
      </c>
      <c r="P10">
        <f>IF(Fleet_Inventory[[#This Row],[Readiness Status]]="Mission Restricted", 1, 0)</f>
        <v>0</v>
      </c>
    </row>
    <row r="11" spans="1:16" x14ac:dyDescent="0.3">
      <c r="A11" t="s">
        <v>21</v>
      </c>
      <c r="B11" t="s">
        <v>27</v>
      </c>
      <c r="C11" t="s">
        <v>40</v>
      </c>
      <c r="D11">
        <v>2015</v>
      </c>
      <c r="E11">
        <v>355</v>
      </c>
      <c r="F11" t="s">
        <v>41</v>
      </c>
      <c r="G11">
        <v>13570</v>
      </c>
      <c r="H11">
        <v>8623</v>
      </c>
      <c r="I11" t="s">
        <v>13</v>
      </c>
      <c r="J11">
        <f>_xlfn.XLOOKUP(Fleet_Inventory[[#This Row],[Engine_Type]],Policy_Table[Engine_Type],Policy_Table[Service_Interval_Hours],"Check Engine Type")</f>
        <v>10000</v>
      </c>
      <c r="K11">
        <f>(2026-Fleet_Inventory[[#This Row],[Year_Built]])*2000</f>
        <v>22000</v>
      </c>
      <c r="L11">
        <f>Fleet_Inventory[[#This Row],[Maintenance_Threshold]] - MOD(Fleet_Inventory[[#This Row],[Estimated_Total_Hours]], Fleet_Inventory[[#This Row],[Maintenance_Threshold]])</f>
        <v>8000</v>
      </c>
      <c r="M11">
        <f>INT(Fleet_Inventory[[#This Row],[Estimated_Total_Hours]] / Fleet_Inventory[[#This Row],[Maintenance_Threshold]]) + 1</f>
        <v>3</v>
      </c>
      <c r="N11" t="str" cm="1">
        <f t="array" ref="N1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11">
        <f>Fleet_Inventory[[#This Row],[Fuel_Burn_L_hr]]/Fleet_Inventory[[#This Row],[Seats]]</f>
        <v>24.290140845070422</v>
      </c>
      <c r="P11">
        <f>IF(Fleet_Inventory[[#This Row],[Readiness Status]]="Mission Restricted", 1, 0)</f>
        <v>0</v>
      </c>
    </row>
    <row r="12" spans="1:16" x14ac:dyDescent="0.3">
      <c r="A12" t="s">
        <v>9</v>
      </c>
      <c r="B12" t="s">
        <v>10</v>
      </c>
      <c r="C12" t="s">
        <v>42</v>
      </c>
      <c r="D12">
        <v>2000</v>
      </c>
      <c r="E12">
        <v>307</v>
      </c>
      <c r="F12" t="s">
        <v>24</v>
      </c>
      <c r="G12">
        <v>9241</v>
      </c>
      <c r="H12">
        <v>7238</v>
      </c>
      <c r="I12" t="s">
        <v>25</v>
      </c>
      <c r="J12">
        <f>_xlfn.XLOOKUP(Fleet_Inventory[[#This Row],[Engine_Type]],Policy_Table[Engine_Type],Policy_Table[Service_Interval_Hours],"Check Engine Type")</f>
        <v>12000</v>
      </c>
      <c r="K12">
        <f>(2026-Fleet_Inventory[[#This Row],[Year_Built]])*2000</f>
        <v>52000</v>
      </c>
      <c r="L12">
        <f>Fleet_Inventory[[#This Row],[Maintenance_Threshold]] - MOD(Fleet_Inventory[[#This Row],[Estimated_Total_Hours]], Fleet_Inventory[[#This Row],[Maintenance_Threshold]])</f>
        <v>8000</v>
      </c>
      <c r="M12">
        <f>INT(Fleet_Inventory[[#This Row],[Estimated_Total_Hours]] / Fleet_Inventory[[#This Row],[Maintenance_Threshold]]) + 1</f>
        <v>5</v>
      </c>
      <c r="N12" t="str" cm="1">
        <f t="array" ref="N12">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12">
        <f>Fleet_Inventory[[#This Row],[Fuel_Burn_L_hr]]/Fleet_Inventory[[#This Row],[Seats]]</f>
        <v>23.576547231270357</v>
      </c>
      <c r="P12">
        <f>IF(Fleet_Inventory[[#This Row],[Readiness Status]]="Mission Restricted", 1, 0)</f>
        <v>0</v>
      </c>
    </row>
    <row r="13" spans="1:16" x14ac:dyDescent="0.3">
      <c r="A13" t="s">
        <v>21</v>
      </c>
      <c r="B13" t="s">
        <v>10</v>
      </c>
      <c r="C13" t="s">
        <v>43</v>
      </c>
      <c r="D13">
        <v>1997</v>
      </c>
      <c r="E13">
        <v>748</v>
      </c>
      <c r="F13" t="s">
        <v>17</v>
      </c>
      <c r="G13">
        <v>5876</v>
      </c>
      <c r="H13">
        <v>5027</v>
      </c>
      <c r="I13" t="s">
        <v>13</v>
      </c>
      <c r="J13">
        <f>_xlfn.XLOOKUP(Fleet_Inventory[[#This Row],[Engine_Type]],Policy_Table[Engine_Type],Policy_Table[Service_Interval_Hours],"Check Engine Type")</f>
        <v>14000</v>
      </c>
      <c r="K13">
        <f>(2026-Fleet_Inventory[[#This Row],[Year_Built]])*2000</f>
        <v>58000</v>
      </c>
      <c r="L13">
        <f>Fleet_Inventory[[#This Row],[Maintenance_Threshold]] - MOD(Fleet_Inventory[[#This Row],[Estimated_Total_Hours]], Fleet_Inventory[[#This Row],[Maintenance_Threshold]])</f>
        <v>12000</v>
      </c>
      <c r="M13">
        <f>INT(Fleet_Inventory[[#This Row],[Estimated_Total_Hours]] / Fleet_Inventory[[#This Row],[Maintenance_Threshold]]) + 1</f>
        <v>5</v>
      </c>
      <c r="N13" t="str" cm="1">
        <f t="array" ref="N13">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13">
        <f>Fleet_Inventory[[#This Row],[Fuel_Burn_L_hr]]/Fleet_Inventory[[#This Row],[Seats]]</f>
        <v>6.7205882352941178</v>
      </c>
      <c r="P13">
        <f>IF(Fleet_Inventory[[#This Row],[Readiness Status]]="Mission Restricted", 1, 0)</f>
        <v>0</v>
      </c>
    </row>
    <row r="14" spans="1:16" x14ac:dyDescent="0.3">
      <c r="A14" t="s">
        <v>30</v>
      </c>
      <c r="B14" t="s">
        <v>44</v>
      </c>
      <c r="C14" t="s">
        <v>45</v>
      </c>
      <c r="D14">
        <v>2020</v>
      </c>
      <c r="E14">
        <v>850</v>
      </c>
      <c r="F14" t="s">
        <v>24</v>
      </c>
      <c r="G14">
        <v>14757</v>
      </c>
      <c r="H14">
        <v>2622</v>
      </c>
      <c r="I14" t="s">
        <v>25</v>
      </c>
      <c r="J14">
        <f>_xlfn.XLOOKUP(Fleet_Inventory[[#This Row],[Engine_Type]],Policy_Table[Engine_Type],Policy_Table[Service_Interval_Hours],"Check Engine Type")</f>
        <v>12000</v>
      </c>
      <c r="K14">
        <f>(2026-Fleet_Inventory[[#This Row],[Year_Built]])*2000</f>
        <v>12000</v>
      </c>
      <c r="L14">
        <f>Fleet_Inventory[[#This Row],[Maintenance_Threshold]] - MOD(Fleet_Inventory[[#This Row],[Estimated_Total_Hours]], Fleet_Inventory[[#This Row],[Maintenance_Threshold]])</f>
        <v>12000</v>
      </c>
      <c r="M14">
        <f>INT(Fleet_Inventory[[#This Row],[Estimated_Total_Hours]] / Fleet_Inventory[[#This Row],[Maintenance_Threshold]]) + 1</f>
        <v>2</v>
      </c>
      <c r="N14" t="str" cm="1">
        <f t="array" ref="N14">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14">
        <f>Fleet_Inventory[[#This Row],[Fuel_Burn_L_hr]]/Fleet_Inventory[[#This Row],[Seats]]</f>
        <v>3.084705882352941</v>
      </c>
      <c r="P14">
        <f>IF(Fleet_Inventory[[#This Row],[Readiness Status]]="Mission Restricted", 1, 0)</f>
        <v>0</v>
      </c>
    </row>
    <row r="15" spans="1:16" x14ac:dyDescent="0.3">
      <c r="A15" t="s">
        <v>14</v>
      </c>
      <c r="B15" t="s">
        <v>46</v>
      </c>
      <c r="C15" t="s">
        <v>47</v>
      </c>
      <c r="D15">
        <v>2013</v>
      </c>
      <c r="E15">
        <v>237</v>
      </c>
      <c r="F15" t="s">
        <v>35</v>
      </c>
      <c r="G15">
        <v>9445</v>
      </c>
      <c r="H15">
        <v>13093</v>
      </c>
      <c r="I15" t="s">
        <v>25</v>
      </c>
      <c r="J15">
        <f>_xlfn.XLOOKUP(Fleet_Inventory[[#This Row],[Engine_Type]],Policy_Table[Engine_Type],Policy_Table[Service_Interval_Hours],"Check Engine Type")</f>
        <v>12000</v>
      </c>
      <c r="K15">
        <f>(2026-Fleet_Inventory[[#This Row],[Year_Built]])*2000</f>
        <v>26000</v>
      </c>
      <c r="L15">
        <f>Fleet_Inventory[[#This Row],[Maintenance_Threshold]] - MOD(Fleet_Inventory[[#This Row],[Estimated_Total_Hours]], Fleet_Inventory[[#This Row],[Maintenance_Threshold]])</f>
        <v>10000</v>
      </c>
      <c r="M15">
        <f>INT(Fleet_Inventory[[#This Row],[Estimated_Total_Hours]] / Fleet_Inventory[[#This Row],[Maintenance_Threshold]]) + 1</f>
        <v>3</v>
      </c>
      <c r="N15" t="str" cm="1">
        <f t="array" ref="N15">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15">
        <f>Fleet_Inventory[[#This Row],[Fuel_Burn_L_hr]]/Fleet_Inventory[[#This Row],[Seats]]</f>
        <v>55.244725738396625</v>
      </c>
      <c r="P15">
        <f>IF(Fleet_Inventory[[#This Row],[Readiness Status]]="Mission Restricted", 1, 0)</f>
        <v>0</v>
      </c>
    </row>
    <row r="16" spans="1:16" x14ac:dyDescent="0.3">
      <c r="A16" t="s">
        <v>30</v>
      </c>
      <c r="B16" t="s">
        <v>19</v>
      </c>
      <c r="C16" t="s">
        <v>48</v>
      </c>
      <c r="D16">
        <v>2022</v>
      </c>
      <c r="E16">
        <v>324</v>
      </c>
      <c r="F16" t="s">
        <v>12</v>
      </c>
      <c r="G16">
        <v>9482</v>
      </c>
      <c r="H16">
        <v>11050</v>
      </c>
      <c r="I16" t="s">
        <v>37</v>
      </c>
      <c r="J16">
        <f>_xlfn.XLOOKUP(Fleet_Inventory[[#This Row],[Engine_Type]],Policy_Table[Engine_Type],Policy_Table[Service_Interval_Hours],"Check Engine Type")</f>
        <v>21000</v>
      </c>
      <c r="K16">
        <f>(2026-Fleet_Inventory[[#This Row],[Year_Built]])*2000</f>
        <v>8000</v>
      </c>
      <c r="L16">
        <f>Fleet_Inventory[[#This Row],[Maintenance_Threshold]] - MOD(Fleet_Inventory[[#This Row],[Estimated_Total_Hours]], Fleet_Inventory[[#This Row],[Maintenance_Threshold]])</f>
        <v>13000</v>
      </c>
      <c r="M16">
        <f>INT(Fleet_Inventory[[#This Row],[Estimated_Total_Hours]] / Fleet_Inventory[[#This Row],[Maintenance_Threshold]]) + 1</f>
        <v>1</v>
      </c>
      <c r="N16" t="str" cm="1">
        <f t="array" ref="N16">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16">
        <f>Fleet_Inventory[[#This Row],[Fuel_Burn_L_hr]]/Fleet_Inventory[[#This Row],[Seats]]</f>
        <v>34.104938271604937</v>
      </c>
      <c r="P16">
        <f>IF(Fleet_Inventory[[#This Row],[Readiness Status]]="Mission Restricted", 1, 0)</f>
        <v>1</v>
      </c>
    </row>
    <row r="17" spans="1:16" x14ac:dyDescent="0.3">
      <c r="A17" t="s">
        <v>9</v>
      </c>
      <c r="B17" t="s">
        <v>44</v>
      </c>
      <c r="C17" t="s">
        <v>49</v>
      </c>
      <c r="D17">
        <v>2008</v>
      </c>
      <c r="E17">
        <v>622</v>
      </c>
      <c r="F17" t="s">
        <v>12</v>
      </c>
      <c r="G17">
        <v>11403</v>
      </c>
      <c r="H17">
        <v>6580</v>
      </c>
      <c r="I17" t="s">
        <v>37</v>
      </c>
      <c r="J17">
        <f>_xlfn.XLOOKUP(Fleet_Inventory[[#This Row],[Engine_Type]],Policy_Table[Engine_Type],Policy_Table[Service_Interval_Hours],"Check Engine Type")</f>
        <v>21000</v>
      </c>
      <c r="K17">
        <f>(2026-Fleet_Inventory[[#This Row],[Year_Built]])*2000</f>
        <v>36000</v>
      </c>
      <c r="L17">
        <f>Fleet_Inventory[[#This Row],[Maintenance_Threshold]] - MOD(Fleet_Inventory[[#This Row],[Estimated_Total_Hours]], Fleet_Inventory[[#This Row],[Maintenance_Threshold]])</f>
        <v>6000</v>
      </c>
      <c r="M17">
        <f>INT(Fleet_Inventory[[#This Row],[Estimated_Total_Hours]] / Fleet_Inventory[[#This Row],[Maintenance_Threshold]]) + 1</f>
        <v>2</v>
      </c>
      <c r="N17" t="str" cm="1">
        <f t="array" ref="N17">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17">
        <f>Fleet_Inventory[[#This Row],[Fuel_Burn_L_hr]]/Fleet_Inventory[[#This Row],[Seats]]</f>
        <v>10.578778135048232</v>
      </c>
      <c r="P17">
        <f>IF(Fleet_Inventory[[#This Row],[Readiness Status]]="Mission Restricted", 1, 0)</f>
        <v>1</v>
      </c>
    </row>
    <row r="18" spans="1:16" x14ac:dyDescent="0.3">
      <c r="A18" t="s">
        <v>14</v>
      </c>
      <c r="B18" t="s">
        <v>15</v>
      </c>
      <c r="C18" t="s">
        <v>50</v>
      </c>
      <c r="D18">
        <v>2022</v>
      </c>
      <c r="E18">
        <v>195</v>
      </c>
      <c r="F18" t="s">
        <v>29</v>
      </c>
      <c r="G18">
        <v>12732</v>
      </c>
      <c r="H18">
        <v>12288</v>
      </c>
      <c r="I18" t="s">
        <v>13</v>
      </c>
      <c r="J18">
        <f>_xlfn.XLOOKUP(Fleet_Inventory[[#This Row],[Engine_Type]],Policy_Table[Engine_Type],Policy_Table[Service_Interval_Hours],"Check Engine Type")</f>
        <v>20000</v>
      </c>
      <c r="K18">
        <f>(2026-Fleet_Inventory[[#This Row],[Year_Built]])*2000</f>
        <v>8000</v>
      </c>
      <c r="L18">
        <f>Fleet_Inventory[[#This Row],[Maintenance_Threshold]] - MOD(Fleet_Inventory[[#This Row],[Estimated_Total_Hours]], Fleet_Inventory[[#This Row],[Maintenance_Threshold]])</f>
        <v>12000</v>
      </c>
      <c r="M18">
        <f>INT(Fleet_Inventory[[#This Row],[Estimated_Total_Hours]] / Fleet_Inventory[[#This Row],[Maintenance_Threshold]]) + 1</f>
        <v>1</v>
      </c>
      <c r="N18" t="str" cm="1">
        <f t="array" ref="N18">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18">
        <f>Fleet_Inventory[[#This Row],[Fuel_Burn_L_hr]]/Fleet_Inventory[[#This Row],[Seats]]</f>
        <v>63.015384615384619</v>
      </c>
      <c r="P18">
        <f>IF(Fleet_Inventory[[#This Row],[Readiness Status]]="Mission Restricted", 1, 0)</f>
        <v>0</v>
      </c>
    </row>
    <row r="19" spans="1:16" x14ac:dyDescent="0.3">
      <c r="A19" t="s">
        <v>9</v>
      </c>
      <c r="B19" t="s">
        <v>46</v>
      </c>
      <c r="C19" t="s">
        <v>51</v>
      </c>
      <c r="D19">
        <v>2006</v>
      </c>
      <c r="E19">
        <v>543</v>
      </c>
      <c r="F19" t="s">
        <v>12</v>
      </c>
      <c r="G19">
        <v>15109</v>
      </c>
      <c r="H19">
        <v>11000</v>
      </c>
      <c r="I19" t="s">
        <v>37</v>
      </c>
      <c r="J19">
        <f>_xlfn.XLOOKUP(Fleet_Inventory[[#This Row],[Engine_Type]],Policy_Table[Engine_Type],Policy_Table[Service_Interval_Hours],"Check Engine Type")</f>
        <v>21000</v>
      </c>
      <c r="K19">
        <f>(2026-Fleet_Inventory[[#This Row],[Year_Built]])*2000</f>
        <v>40000</v>
      </c>
      <c r="L19">
        <f>Fleet_Inventory[[#This Row],[Maintenance_Threshold]] - MOD(Fleet_Inventory[[#This Row],[Estimated_Total_Hours]], Fleet_Inventory[[#This Row],[Maintenance_Threshold]])</f>
        <v>2000</v>
      </c>
      <c r="M19">
        <f>INT(Fleet_Inventory[[#This Row],[Estimated_Total_Hours]] / Fleet_Inventory[[#This Row],[Maintenance_Threshold]]) + 1</f>
        <v>2</v>
      </c>
      <c r="N19" t="str" cm="1">
        <f t="array" ref="N19">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19">
        <f>Fleet_Inventory[[#This Row],[Fuel_Burn_L_hr]]/Fleet_Inventory[[#This Row],[Seats]]</f>
        <v>20.257826887661142</v>
      </c>
      <c r="P19">
        <f>IF(Fleet_Inventory[[#This Row],[Readiness Status]]="Mission Restricted", 1, 0)</f>
        <v>1</v>
      </c>
    </row>
    <row r="20" spans="1:16" x14ac:dyDescent="0.3">
      <c r="A20" t="s">
        <v>26</v>
      </c>
      <c r="B20" t="s">
        <v>22</v>
      </c>
      <c r="C20" t="s">
        <v>52</v>
      </c>
      <c r="D20">
        <v>1999</v>
      </c>
      <c r="E20">
        <v>181</v>
      </c>
      <c r="F20" t="s">
        <v>29</v>
      </c>
      <c r="G20">
        <v>5550</v>
      </c>
      <c r="H20">
        <v>4293</v>
      </c>
      <c r="I20" t="s">
        <v>13</v>
      </c>
      <c r="J20">
        <f>_xlfn.XLOOKUP(Fleet_Inventory[[#This Row],[Engine_Type]],Policy_Table[Engine_Type],Policy_Table[Service_Interval_Hours],"Check Engine Type")</f>
        <v>20000</v>
      </c>
      <c r="K20">
        <f>(2026-Fleet_Inventory[[#This Row],[Year_Built]])*2000</f>
        <v>54000</v>
      </c>
      <c r="L20">
        <f>Fleet_Inventory[[#This Row],[Maintenance_Threshold]] - MOD(Fleet_Inventory[[#This Row],[Estimated_Total_Hours]], Fleet_Inventory[[#This Row],[Maintenance_Threshold]])</f>
        <v>6000</v>
      </c>
      <c r="M20">
        <f>INT(Fleet_Inventory[[#This Row],[Estimated_Total_Hours]] / Fleet_Inventory[[#This Row],[Maintenance_Threshold]]) + 1</f>
        <v>3</v>
      </c>
      <c r="N20" t="str" cm="1">
        <f t="array" ref="N20">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0">
        <f>Fleet_Inventory[[#This Row],[Fuel_Burn_L_hr]]/Fleet_Inventory[[#This Row],[Seats]]</f>
        <v>23.718232044198896</v>
      </c>
      <c r="P20">
        <f>IF(Fleet_Inventory[[#This Row],[Readiness Status]]="Mission Restricted", 1, 0)</f>
        <v>0</v>
      </c>
    </row>
    <row r="21" spans="1:16" x14ac:dyDescent="0.3">
      <c r="A21" t="s">
        <v>38</v>
      </c>
      <c r="B21" t="s">
        <v>22</v>
      </c>
      <c r="C21" t="s">
        <v>53</v>
      </c>
      <c r="D21">
        <v>1999</v>
      </c>
      <c r="E21">
        <v>804</v>
      </c>
      <c r="F21" t="s">
        <v>35</v>
      </c>
      <c r="G21">
        <v>14328</v>
      </c>
      <c r="H21">
        <v>12490</v>
      </c>
      <c r="I21" t="s">
        <v>25</v>
      </c>
      <c r="J21">
        <f>_xlfn.XLOOKUP(Fleet_Inventory[[#This Row],[Engine_Type]],Policy_Table[Engine_Type],Policy_Table[Service_Interval_Hours],"Check Engine Type")</f>
        <v>12000</v>
      </c>
      <c r="K21">
        <f>(2026-Fleet_Inventory[[#This Row],[Year_Built]])*2000</f>
        <v>54000</v>
      </c>
      <c r="L21">
        <f>Fleet_Inventory[[#This Row],[Maintenance_Threshold]] - MOD(Fleet_Inventory[[#This Row],[Estimated_Total_Hours]], Fleet_Inventory[[#This Row],[Maintenance_Threshold]])</f>
        <v>6000</v>
      </c>
      <c r="M21">
        <f>INT(Fleet_Inventory[[#This Row],[Estimated_Total_Hours]] / Fleet_Inventory[[#This Row],[Maintenance_Threshold]]) + 1</f>
        <v>5</v>
      </c>
      <c r="N21" t="str" cm="1">
        <f t="array" ref="N2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21">
        <f>Fleet_Inventory[[#This Row],[Fuel_Burn_L_hr]]/Fleet_Inventory[[#This Row],[Seats]]</f>
        <v>15.534825870646767</v>
      </c>
      <c r="P21">
        <f>IF(Fleet_Inventory[[#This Row],[Readiness Status]]="Mission Restricted", 1, 0)</f>
        <v>0</v>
      </c>
    </row>
    <row r="22" spans="1:16" x14ac:dyDescent="0.3">
      <c r="A22" t="s">
        <v>30</v>
      </c>
      <c r="B22" t="s">
        <v>54</v>
      </c>
      <c r="C22" t="s">
        <v>55</v>
      </c>
      <c r="D22">
        <v>2018</v>
      </c>
      <c r="E22">
        <v>594</v>
      </c>
      <c r="F22" t="s">
        <v>35</v>
      </c>
      <c r="G22">
        <v>7094</v>
      </c>
      <c r="H22">
        <v>10181</v>
      </c>
      <c r="I22" t="s">
        <v>13</v>
      </c>
      <c r="J22">
        <f>_xlfn.XLOOKUP(Fleet_Inventory[[#This Row],[Engine_Type]],Policy_Table[Engine_Type],Policy_Table[Service_Interval_Hours],"Check Engine Type")</f>
        <v>12000</v>
      </c>
      <c r="K22">
        <f>(2026-Fleet_Inventory[[#This Row],[Year_Built]])*2000</f>
        <v>16000</v>
      </c>
      <c r="L22">
        <f>Fleet_Inventory[[#This Row],[Maintenance_Threshold]] - MOD(Fleet_Inventory[[#This Row],[Estimated_Total_Hours]], Fleet_Inventory[[#This Row],[Maintenance_Threshold]])</f>
        <v>8000</v>
      </c>
      <c r="M22">
        <f>INT(Fleet_Inventory[[#This Row],[Estimated_Total_Hours]] / Fleet_Inventory[[#This Row],[Maintenance_Threshold]]) + 1</f>
        <v>2</v>
      </c>
      <c r="N22" t="str" cm="1">
        <f t="array" ref="N22">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2">
        <f>Fleet_Inventory[[#This Row],[Fuel_Burn_L_hr]]/Fleet_Inventory[[#This Row],[Seats]]</f>
        <v>17.13973063973064</v>
      </c>
      <c r="P22">
        <f>IF(Fleet_Inventory[[#This Row],[Readiness Status]]="Mission Restricted", 1, 0)</f>
        <v>0</v>
      </c>
    </row>
    <row r="23" spans="1:16" x14ac:dyDescent="0.3">
      <c r="A23" t="s">
        <v>9</v>
      </c>
      <c r="B23" t="s">
        <v>44</v>
      </c>
      <c r="C23" t="s">
        <v>56</v>
      </c>
      <c r="D23">
        <v>2021</v>
      </c>
      <c r="E23">
        <v>562</v>
      </c>
      <c r="F23" t="s">
        <v>32</v>
      </c>
      <c r="G23">
        <v>9998</v>
      </c>
      <c r="H23">
        <v>3333</v>
      </c>
      <c r="I23" t="s">
        <v>25</v>
      </c>
      <c r="J23">
        <f>_xlfn.XLOOKUP(Fleet_Inventory[[#This Row],[Engine_Type]],Policy_Table[Engine_Type],Policy_Table[Service_Interval_Hours],"Check Engine Type")</f>
        <v>17000</v>
      </c>
      <c r="K23">
        <f>(2026-Fleet_Inventory[[#This Row],[Year_Built]])*2000</f>
        <v>10000</v>
      </c>
      <c r="L23">
        <f>Fleet_Inventory[[#This Row],[Maintenance_Threshold]] - MOD(Fleet_Inventory[[#This Row],[Estimated_Total_Hours]], Fleet_Inventory[[#This Row],[Maintenance_Threshold]])</f>
        <v>7000</v>
      </c>
      <c r="M23">
        <f>INT(Fleet_Inventory[[#This Row],[Estimated_Total_Hours]] / Fleet_Inventory[[#This Row],[Maintenance_Threshold]]) + 1</f>
        <v>1</v>
      </c>
      <c r="N23" t="str" cm="1">
        <f t="array" ref="N23">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23">
        <f>Fleet_Inventory[[#This Row],[Fuel_Burn_L_hr]]/Fleet_Inventory[[#This Row],[Seats]]</f>
        <v>5.9306049822064058</v>
      </c>
      <c r="P23">
        <f>IF(Fleet_Inventory[[#This Row],[Readiness Status]]="Mission Restricted", 1, 0)</f>
        <v>0</v>
      </c>
    </row>
    <row r="24" spans="1:16" x14ac:dyDescent="0.3">
      <c r="A24" t="s">
        <v>26</v>
      </c>
      <c r="B24" t="s">
        <v>44</v>
      </c>
      <c r="C24" t="s">
        <v>57</v>
      </c>
      <c r="D24">
        <v>2004</v>
      </c>
      <c r="E24">
        <v>455</v>
      </c>
      <c r="F24" t="s">
        <v>17</v>
      </c>
      <c r="G24">
        <v>13950</v>
      </c>
      <c r="H24">
        <v>10381</v>
      </c>
      <c r="I24" t="s">
        <v>37</v>
      </c>
      <c r="J24">
        <f>_xlfn.XLOOKUP(Fleet_Inventory[[#This Row],[Engine_Type]],Policy_Table[Engine_Type],Policy_Table[Service_Interval_Hours],"Check Engine Type")</f>
        <v>14000</v>
      </c>
      <c r="K24">
        <f>(2026-Fleet_Inventory[[#This Row],[Year_Built]])*2000</f>
        <v>44000</v>
      </c>
      <c r="L24">
        <f>Fleet_Inventory[[#This Row],[Maintenance_Threshold]] - MOD(Fleet_Inventory[[#This Row],[Estimated_Total_Hours]], Fleet_Inventory[[#This Row],[Maintenance_Threshold]])</f>
        <v>12000</v>
      </c>
      <c r="M24">
        <f>INT(Fleet_Inventory[[#This Row],[Estimated_Total_Hours]] / Fleet_Inventory[[#This Row],[Maintenance_Threshold]]) + 1</f>
        <v>4</v>
      </c>
      <c r="N24" t="str" cm="1">
        <f t="array" ref="N24">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24">
        <f>Fleet_Inventory[[#This Row],[Fuel_Burn_L_hr]]/Fleet_Inventory[[#This Row],[Seats]]</f>
        <v>22.815384615384616</v>
      </c>
      <c r="P24">
        <f>IF(Fleet_Inventory[[#This Row],[Readiness Status]]="Mission Restricted", 1, 0)</f>
        <v>1</v>
      </c>
    </row>
    <row r="25" spans="1:16" x14ac:dyDescent="0.3">
      <c r="A25" t="s">
        <v>18</v>
      </c>
      <c r="B25" t="s">
        <v>19</v>
      </c>
      <c r="C25" t="s">
        <v>58</v>
      </c>
      <c r="D25">
        <v>2004</v>
      </c>
      <c r="E25">
        <v>695</v>
      </c>
      <c r="F25" t="s">
        <v>29</v>
      </c>
      <c r="G25">
        <v>13546</v>
      </c>
      <c r="H25">
        <v>3931</v>
      </c>
      <c r="I25" t="s">
        <v>25</v>
      </c>
      <c r="J25">
        <f>_xlfn.XLOOKUP(Fleet_Inventory[[#This Row],[Engine_Type]],Policy_Table[Engine_Type],Policy_Table[Service_Interval_Hours],"Check Engine Type")</f>
        <v>20000</v>
      </c>
      <c r="K25">
        <f>(2026-Fleet_Inventory[[#This Row],[Year_Built]])*2000</f>
        <v>44000</v>
      </c>
      <c r="L25">
        <f>Fleet_Inventory[[#This Row],[Maintenance_Threshold]] - MOD(Fleet_Inventory[[#This Row],[Estimated_Total_Hours]], Fleet_Inventory[[#This Row],[Maintenance_Threshold]])</f>
        <v>16000</v>
      </c>
      <c r="M25">
        <f>INT(Fleet_Inventory[[#This Row],[Estimated_Total_Hours]] / Fleet_Inventory[[#This Row],[Maintenance_Threshold]]) + 1</f>
        <v>3</v>
      </c>
      <c r="N25" t="str" cm="1">
        <f t="array" ref="N25">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25">
        <f>Fleet_Inventory[[#This Row],[Fuel_Burn_L_hr]]/Fleet_Inventory[[#This Row],[Seats]]</f>
        <v>5.6561151079136689</v>
      </c>
      <c r="P25">
        <f>IF(Fleet_Inventory[[#This Row],[Readiness Status]]="Mission Restricted", 1, 0)</f>
        <v>0</v>
      </c>
    </row>
    <row r="26" spans="1:16" x14ac:dyDescent="0.3">
      <c r="A26" t="s">
        <v>26</v>
      </c>
      <c r="B26" t="s">
        <v>44</v>
      </c>
      <c r="C26" t="s">
        <v>59</v>
      </c>
      <c r="D26">
        <v>2006</v>
      </c>
      <c r="E26">
        <v>276</v>
      </c>
      <c r="F26" t="s">
        <v>41</v>
      </c>
      <c r="G26">
        <v>13017</v>
      </c>
      <c r="H26">
        <v>12390</v>
      </c>
      <c r="I26" t="s">
        <v>13</v>
      </c>
      <c r="J26">
        <f>_xlfn.XLOOKUP(Fleet_Inventory[[#This Row],[Engine_Type]],Policy_Table[Engine_Type],Policy_Table[Service_Interval_Hours],"Check Engine Type")</f>
        <v>10000</v>
      </c>
      <c r="K26">
        <f>(2026-Fleet_Inventory[[#This Row],[Year_Built]])*2000</f>
        <v>40000</v>
      </c>
      <c r="L26">
        <f>Fleet_Inventory[[#This Row],[Maintenance_Threshold]] - MOD(Fleet_Inventory[[#This Row],[Estimated_Total_Hours]], Fleet_Inventory[[#This Row],[Maintenance_Threshold]])</f>
        <v>10000</v>
      </c>
      <c r="M26">
        <f>INT(Fleet_Inventory[[#This Row],[Estimated_Total_Hours]] / Fleet_Inventory[[#This Row],[Maintenance_Threshold]]) + 1</f>
        <v>5</v>
      </c>
      <c r="N26" t="str" cm="1">
        <f t="array" ref="N26">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6">
        <f>Fleet_Inventory[[#This Row],[Fuel_Burn_L_hr]]/Fleet_Inventory[[#This Row],[Seats]]</f>
        <v>44.891304347826086</v>
      </c>
      <c r="P26">
        <f>IF(Fleet_Inventory[[#This Row],[Readiness Status]]="Mission Restricted", 1, 0)</f>
        <v>0</v>
      </c>
    </row>
    <row r="27" spans="1:16" x14ac:dyDescent="0.3">
      <c r="A27" t="s">
        <v>26</v>
      </c>
      <c r="B27" t="s">
        <v>27</v>
      </c>
      <c r="C27" t="s">
        <v>60</v>
      </c>
      <c r="D27">
        <v>2000</v>
      </c>
      <c r="E27">
        <v>369</v>
      </c>
      <c r="F27" t="s">
        <v>29</v>
      </c>
      <c r="G27">
        <v>11367</v>
      </c>
      <c r="H27">
        <v>8111</v>
      </c>
      <c r="I27" t="s">
        <v>13</v>
      </c>
      <c r="J27">
        <f>_xlfn.XLOOKUP(Fleet_Inventory[[#This Row],[Engine_Type]],Policy_Table[Engine_Type],Policy_Table[Service_Interval_Hours],"Check Engine Type")</f>
        <v>20000</v>
      </c>
      <c r="K27">
        <f>(2026-Fleet_Inventory[[#This Row],[Year_Built]])*2000</f>
        <v>52000</v>
      </c>
      <c r="L27">
        <f>Fleet_Inventory[[#This Row],[Maintenance_Threshold]] - MOD(Fleet_Inventory[[#This Row],[Estimated_Total_Hours]], Fleet_Inventory[[#This Row],[Maintenance_Threshold]])</f>
        <v>8000</v>
      </c>
      <c r="M27">
        <f>INT(Fleet_Inventory[[#This Row],[Estimated_Total_Hours]] / Fleet_Inventory[[#This Row],[Maintenance_Threshold]]) + 1</f>
        <v>3</v>
      </c>
      <c r="N27" t="str" cm="1">
        <f t="array" ref="N27">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7">
        <f>Fleet_Inventory[[#This Row],[Fuel_Burn_L_hr]]/Fleet_Inventory[[#This Row],[Seats]]</f>
        <v>21.981029810298104</v>
      </c>
      <c r="P27">
        <f>IF(Fleet_Inventory[[#This Row],[Readiness Status]]="Mission Restricted", 1, 0)</f>
        <v>0</v>
      </c>
    </row>
    <row r="28" spans="1:16" x14ac:dyDescent="0.3">
      <c r="A28" t="s">
        <v>38</v>
      </c>
      <c r="B28" t="s">
        <v>54</v>
      </c>
      <c r="C28" t="s">
        <v>61</v>
      </c>
      <c r="D28">
        <v>1998</v>
      </c>
      <c r="E28">
        <v>216</v>
      </c>
      <c r="F28" t="s">
        <v>41</v>
      </c>
      <c r="G28">
        <v>8845</v>
      </c>
      <c r="H28">
        <v>13751</v>
      </c>
      <c r="I28" t="s">
        <v>13</v>
      </c>
      <c r="J28">
        <f>_xlfn.XLOOKUP(Fleet_Inventory[[#This Row],[Engine_Type]],Policy_Table[Engine_Type],Policy_Table[Service_Interval_Hours],"Check Engine Type")</f>
        <v>10000</v>
      </c>
      <c r="K28">
        <f>(2026-Fleet_Inventory[[#This Row],[Year_Built]])*2000</f>
        <v>56000</v>
      </c>
      <c r="L28">
        <f>Fleet_Inventory[[#This Row],[Maintenance_Threshold]] - MOD(Fleet_Inventory[[#This Row],[Estimated_Total_Hours]], Fleet_Inventory[[#This Row],[Maintenance_Threshold]])</f>
        <v>4000</v>
      </c>
      <c r="M28">
        <f>INT(Fleet_Inventory[[#This Row],[Estimated_Total_Hours]] / Fleet_Inventory[[#This Row],[Maintenance_Threshold]]) + 1</f>
        <v>6</v>
      </c>
      <c r="N28" t="str" cm="1">
        <f t="array" ref="N28">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28">
        <f>Fleet_Inventory[[#This Row],[Fuel_Burn_L_hr]]/Fleet_Inventory[[#This Row],[Seats]]</f>
        <v>63.662037037037038</v>
      </c>
      <c r="P28">
        <f>IF(Fleet_Inventory[[#This Row],[Readiness Status]]="Mission Restricted", 1, 0)</f>
        <v>0</v>
      </c>
    </row>
    <row r="29" spans="1:16" x14ac:dyDescent="0.3">
      <c r="A29" t="s">
        <v>38</v>
      </c>
      <c r="B29" t="s">
        <v>46</v>
      </c>
      <c r="C29" t="s">
        <v>62</v>
      </c>
      <c r="D29">
        <v>2007</v>
      </c>
      <c r="E29">
        <v>556</v>
      </c>
      <c r="F29" t="s">
        <v>12</v>
      </c>
      <c r="G29">
        <v>8416</v>
      </c>
      <c r="H29">
        <v>10698</v>
      </c>
      <c r="I29" t="s">
        <v>37</v>
      </c>
      <c r="J29">
        <f>_xlfn.XLOOKUP(Fleet_Inventory[[#This Row],[Engine_Type]],Policy_Table[Engine_Type],Policy_Table[Service_Interval_Hours],"Check Engine Type")</f>
        <v>21000</v>
      </c>
      <c r="K29">
        <f>(2026-Fleet_Inventory[[#This Row],[Year_Built]])*2000</f>
        <v>38000</v>
      </c>
      <c r="L29">
        <f>Fleet_Inventory[[#This Row],[Maintenance_Threshold]] - MOD(Fleet_Inventory[[#This Row],[Estimated_Total_Hours]], Fleet_Inventory[[#This Row],[Maintenance_Threshold]])</f>
        <v>4000</v>
      </c>
      <c r="M29">
        <f>INT(Fleet_Inventory[[#This Row],[Estimated_Total_Hours]] / Fleet_Inventory[[#This Row],[Maintenance_Threshold]]) + 1</f>
        <v>2</v>
      </c>
      <c r="N29" t="str" cm="1">
        <f t="array" ref="N29">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29">
        <f>Fleet_Inventory[[#This Row],[Fuel_Burn_L_hr]]/Fleet_Inventory[[#This Row],[Seats]]</f>
        <v>19.241007194244606</v>
      </c>
      <c r="P29">
        <f>IF(Fleet_Inventory[[#This Row],[Readiness Status]]="Mission Restricted", 1, 0)</f>
        <v>1</v>
      </c>
    </row>
    <row r="30" spans="1:16" x14ac:dyDescent="0.3">
      <c r="A30" t="s">
        <v>18</v>
      </c>
      <c r="B30" t="s">
        <v>19</v>
      </c>
      <c r="C30" t="s">
        <v>63</v>
      </c>
      <c r="D30">
        <v>2016</v>
      </c>
      <c r="E30">
        <v>117</v>
      </c>
      <c r="F30" t="s">
        <v>24</v>
      </c>
      <c r="G30">
        <v>12893</v>
      </c>
      <c r="H30">
        <v>11737</v>
      </c>
      <c r="I30" t="s">
        <v>37</v>
      </c>
      <c r="J30">
        <f>_xlfn.XLOOKUP(Fleet_Inventory[[#This Row],[Engine_Type]],Policy_Table[Engine_Type],Policy_Table[Service_Interval_Hours],"Check Engine Type")</f>
        <v>12000</v>
      </c>
      <c r="K30">
        <f>(2026-Fleet_Inventory[[#This Row],[Year_Built]])*2000</f>
        <v>20000</v>
      </c>
      <c r="L30">
        <f>Fleet_Inventory[[#This Row],[Maintenance_Threshold]] - MOD(Fleet_Inventory[[#This Row],[Estimated_Total_Hours]], Fleet_Inventory[[#This Row],[Maintenance_Threshold]])</f>
        <v>4000</v>
      </c>
      <c r="M30">
        <f>INT(Fleet_Inventory[[#This Row],[Estimated_Total_Hours]] / Fleet_Inventory[[#This Row],[Maintenance_Threshold]]) + 1</f>
        <v>2</v>
      </c>
      <c r="N30" t="str" cm="1">
        <f t="array" ref="N30">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30">
        <f>Fleet_Inventory[[#This Row],[Fuel_Burn_L_hr]]/Fleet_Inventory[[#This Row],[Seats]]</f>
        <v>100.31623931623932</v>
      </c>
      <c r="P30">
        <f>IF(Fleet_Inventory[[#This Row],[Readiness Status]]="Mission Restricted", 1, 0)</f>
        <v>1</v>
      </c>
    </row>
    <row r="31" spans="1:16" x14ac:dyDescent="0.3">
      <c r="A31" t="s">
        <v>38</v>
      </c>
      <c r="B31" t="s">
        <v>54</v>
      </c>
      <c r="C31" t="s">
        <v>64</v>
      </c>
      <c r="D31">
        <v>2012</v>
      </c>
      <c r="E31">
        <v>823</v>
      </c>
      <c r="F31" t="s">
        <v>41</v>
      </c>
      <c r="G31">
        <v>15226</v>
      </c>
      <c r="H31">
        <v>4749</v>
      </c>
      <c r="I31" t="s">
        <v>37</v>
      </c>
      <c r="J31">
        <f>_xlfn.XLOOKUP(Fleet_Inventory[[#This Row],[Engine_Type]],Policy_Table[Engine_Type],Policy_Table[Service_Interval_Hours],"Check Engine Type")</f>
        <v>10000</v>
      </c>
      <c r="K31">
        <f>(2026-Fleet_Inventory[[#This Row],[Year_Built]])*2000</f>
        <v>28000</v>
      </c>
      <c r="L31">
        <f>Fleet_Inventory[[#This Row],[Maintenance_Threshold]] - MOD(Fleet_Inventory[[#This Row],[Estimated_Total_Hours]], Fleet_Inventory[[#This Row],[Maintenance_Threshold]])</f>
        <v>2000</v>
      </c>
      <c r="M31">
        <f>INT(Fleet_Inventory[[#This Row],[Estimated_Total_Hours]] / Fleet_Inventory[[#This Row],[Maintenance_Threshold]]) + 1</f>
        <v>3</v>
      </c>
      <c r="N31" t="str" cm="1">
        <f t="array" ref="N3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31">
        <f>Fleet_Inventory[[#This Row],[Fuel_Burn_L_hr]]/Fleet_Inventory[[#This Row],[Seats]]</f>
        <v>5.7703523693803156</v>
      </c>
      <c r="P31">
        <f>IF(Fleet_Inventory[[#This Row],[Readiness Status]]="Mission Restricted", 1, 0)</f>
        <v>1</v>
      </c>
    </row>
    <row r="32" spans="1:16" x14ac:dyDescent="0.3">
      <c r="A32" t="s">
        <v>26</v>
      </c>
      <c r="B32" t="s">
        <v>54</v>
      </c>
      <c r="C32" t="s">
        <v>65</v>
      </c>
      <c r="D32">
        <v>2003</v>
      </c>
      <c r="E32">
        <v>451</v>
      </c>
      <c r="F32" t="s">
        <v>29</v>
      </c>
      <c r="G32">
        <v>15056</v>
      </c>
      <c r="H32">
        <v>2899</v>
      </c>
      <c r="I32" t="s">
        <v>13</v>
      </c>
      <c r="J32">
        <f>_xlfn.XLOOKUP(Fleet_Inventory[[#This Row],[Engine_Type]],Policy_Table[Engine_Type],Policy_Table[Service_Interval_Hours],"Check Engine Type")</f>
        <v>20000</v>
      </c>
      <c r="K32">
        <f>(2026-Fleet_Inventory[[#This Row],[Year_Built]])*2000</f>
        <v>46000</v>
      </c>
      <c r="L32">
        <f>Fleet_Inventory[[#This Row],[Maintenance_Threshold]] - MOD(Fleet_Inventory[[#This Row],[Estimated_Total_Hours]], Fleet_Inventory[[#This Row],[Maintenance_Threshold]])</f>
        <v>14000</v>
      </c>
      <c r="M32">
        <f>INT(Fleet_Inventory[[#This Row],[Estimated_Total_Hours]] / Fleet_Inventory[[#This Row],[Maintenance_Threshold]]) + 1</f>
        <v>3</v>
      </c>
      <c r="N32" t="str" cm="1">
        <f t="array" ref="N32">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32">
        <f>Fleet_Inventory[[#This Row],[Fuel_Burn_L_hr]]/Fleet_Inventory[[#This Row],[Seats]]</f>
        <v>6.4279379157427936</v>
      </c>
      <c r="P32">
        <f>IF(Fleet_Inventory[[#This Row],[Readiness Status]]="Mission Restricted", 1, 0)</f>
        <v>0</v>
      </c>
    </row>
    <row r="33" spans="1:16" x14ac:dyDescent="0.3">
      <c r="A33" t="s">
        <v>38</v>
      </c>
      <c r="B33" t="s">
        <v>27</v>
      </c>
      <c r="C33" t="s">
        <v>66</v>
      </c>
      <c r="D33">
        <v>2002</v>
      </c>
      <c r="E33">
        <v>509</v>
      </c>
      <c r="F33" t="s">
        <v>12</v>
      </c>
      <c r="G33">
        <v>6076</v>
      </c>
      <c r="H33">
        <v>6893</v>
      </c>
      <c r="I33" t="s">
        <v>13</v>
      </c>
      <c r="J33">
        <f>_xlfn.XLOOKUP(Fleet_Inventory[[#This Row],[Engine_Type]],Policy_Table[Engine_Type],Policy_Table[Service_Interval_Hours],"Check Engine Type")</f>
        <v>21000</v>
      </c>
      <c r="K33">
        <f>(2026-Fleet_Inventory[[#This Row],[Year_Built]])*2000</f>
        <v>48000</v>
      </c>
      <c r="L33">
        <f>Fleet_Inventory[[#This Row],[Maintenance_Threshold]] - MOD(Fleet_Inventory[[#This Row],[Estimated_Total_Hours]], Fleet_Inventory[[#This Row],[Maintenance_Threshold]])</f>
        <v>15000</v>
      </c>
      <c r="M33">
        <f>INT(Fleet_Inventory[[#This Row],[Estimated_Total_Hours]] / Fleet_Inventory[[#This Row],[Maintenance_Threshold]]) + 1</f>
        <v>3</v>
      </c>
      <c r="N33" t="str" cm="1">
        <f t="array" ref="N33">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33">
        <f>Fleet_Inventory[[#This Row],[Fuel_Burn_L_hr]]/Fleet_Inventory[[#This Row],[Seats]]</f>
        <v>13.542239685658153</v>
      </c>
      <c r="P33">
        <f>IF(Fleet_Inventory[[#This Row],[Readiness Status]]="Mission Restricted", 1, 0)</f>
        <v>0</v>
      </c>
    </row>
    <row r="34" spans="1:16" x14ac:dyDescent="0.3">
      <c r="A34" t="s">
        <v>21</v>
      </c>
      <c r="B34" t="s">
        <v>22</v>
      </c>
      <c r="C34" t="s">
        <v>67</v>
      </c>
      <c r="D34">
        <v>2004</v>
      </c>
      <c r="E34">
        <v>332</v>
      </c>
      <c r="F34" t="s">
        <v>29</v>
      </c>
      <c r="G34">
        <v>13476</v>
      </c>
      <c r="H34">
        <v>11350</v>
      </c>
      <c r="I34" t="s">
        <v>37</v>
      </c>
      <c r="J34">
        <f>_xlfn.XLOOKUP(Fleet_Inventory[[#This Row],[Engine_Type]],Policy_Table[Engine_Type],Policy_Table[Service_Interval_Hours],"Check Engine Type")</f>
        <v>20000</v>
      </c>
      <c r="K34">
        <f>(2026-Fleet_Inventory[[#This Row],[Year_Built]])*2000</f>
        <v>44000</v>
      </c>
      <c r="L34">
        <f>Fleet_Inventory[[#This Row],[Maintenance_Threshold]] - MOD(Fleet_Inventory[[#This Row],[Estimated_Total_Hours]], Fleet_Inventory[[#This Row],[Maintenance_Threshold]])</f>
        <v>16000</v>
      </c>
      <c r="M34">
        <f>INT(Fleet_Inventory[[#This Row],[Estimated_Total_Hours]] / Fleet_Inventory[[#This Row],[Maintenance_Threshold]]) + 1</f>
        <v>3</v>
      </c>
      <c r="N34" t="str" cm="1">
        <f t="array" ref="N34">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34">
        <f>Fleet_Inventory[[#This Row],[Fuel_Burn_L_hr]]/Fleet_Inventory[[#This Row],[Seats]]</f>
        <v>34.186746987951807</v>
      </c>
      <c r="P34">
        <f>IF(Fleet_Inventory[[#This Row],[Readiness Status]]="Mission Restricted", 1, 0)</f>
        <v>1</v>
      </c>
    </row>
    <row r="35" spans="1:16" x14ac:dyDescent="0.3">
      <c r="A35" t="s">
        <v>9</v>
      </c>
      <c r="B35" t="s">
        <v>54</v>
      </c>
      <c r="C35" t="s">
        <v>68</v>
      </c>
      <c r="D35">
        <v>2005</v>
      </c>
      <c r="E35">
        <v>168</v>
      </c>
      <c r="F35" t="s">
        <v>29</v>
      </c>
      <c r="G35">
        <v>12940</v>
      </c>
      <c r="H35">
        <v>13199</v>
      </c>
      <c r="I35" t="s">
        <v>37</v>
      </c>
      <c r="J35">
        <f>_xlfn.XLOOKUP(Fleet_Inventory[[#This Row],[Engine_Type]],Policy_Table[Engine_Type],Policy_Table[Service_Interval_Hours],"Check Engine Type")</f>
        <v>20000</v>
      </c>
      <c r="K35">
        <f>(2026-Fleet_Inventory[[#This Row],[Year_Built]])*2000</f>
        <v>42000</v>
      </c>
      <c r="L35">
        <f>Fleet_Inventory[[#This Row],[Maintenance_Threshold]] - MOD(Fleet_Inventory[[#This Row],[Estimated_Total_Hours]], Fleet_Inventory[[#This Row],[Maintenance_Threshold]])</f>
        <v>18000</v>
      </c>
      <c r="M35">
        <f>INT(Fleet_Inventory[[#This Row],[Estimated_Total_Hours]] / Fleet_Inventory[[#This Row],[Maintenance_Threshold]]) + 1</f>
        <v>3</v>
      </c>
      <c r="N35" t="str" cm="1">
        <f t="array" ref="N35">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35">
        <f>Fleet_Inventory[[#This Row],[Fuel_Burn_L_hr]]/Fleet_Inventory[[#This Row],[Seats]]</f>
        <v>78.56547619047619</v>
      </c>
      <c r="P35">
        <f>IF(Fleet_Inventory[[#This Row],[Readiness Status]]="Mission Restricted", 1, 0)</f>
        <v>1</v>
      </c>
    </row>
    <row r="36" spans="1:16" x14ac:dyDescent="0.3">
      <c r="A36" t="s">
        <v>26</v>
      </c>
      <c r="B36" t="s">
        <v>15</v>
      </c>
      <c r="C36" t="s">
        <v>69</v>
      </c>
      <c r="D36">
        <v>2014</v>
      </c>
      <c r="E36">
        <v>245</v>
      </c>
      <c r="F36" t="s">
        <v>17</v>
      </c>
      <c r="G36">
        <v>15415</v>
      </c>
      <c r="H36">
        <v>13868</v>
      </c>
      <c r="I36" t="s">
        <v>37</v>
      </c>
      <c r="J36">
        <f>_xlfn.XLOOKUP(Fleet_Inventory[[#This Row],[Engine_Type]],Policy_Table[Engine_Type],Policy_Table[Service_Interval_Hours],"Check Engine Type")</f>
        <v>14000</v>
      </c>
      <c r="K36">
        <f>(2026-Fleet_Inventory[[#This Row],[Year_Built]])*2000</f>
        <v>24000</v>
      </c>
      <c r="L36">
        <f>Fleet_Inventory[[#This Row],[Maintenance_Threshold]] - MOD(Fleet_Inventory[[#This Row],[Estimated_Total_Hours]], Fleet_Inventory[[#This Row],[Maintenance_Threshold]])</f>
        <v>4000</v>
      </c>
      <c r="M36">
        <f>INT(Fleet_Inventory[[#This Row],[Estimated_Total_Hours]] / Fleet_Inventory[[#This Row],[Maintenance_Threshold]]) + 1</f>
        <v>2</v>
      </c>
      <c r="N36" t="str" cm="1">
        <f t="array" ref="N36">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36">
        <f>Fleet_Inventory[[#This Row],[Fuel_Burn_L_hr]]/Fleet_Inventory[[#This Row],[Seats]]</f>
        <v>56.604081632653063</v>
      </c>
      <c r="P36">
        <f>IF(Fleet_Inventory[[#This Row],[Readiness Status]]="Mission Restricted", 1, 0)</f>
        <v>1</v>
      </c>
    </row>
    <row r="37" spans="1:16" x14ac:dyDescent="0.3">
      <c r="A37" t="s">
        <v>26</v>
      </c>
      <c r="B37" t="s">
        <v>19</v>
      </c>
      <c r="C37" t="s">
        <v>70</v>
      </c>
      <c r="D37">
        <v>2006</v>
      </c>
      <c r="E37">
        <v>290</v>
      </c>
      <c r="F37" t="s">
        <v>12</v>
      </c>
      <c r="G37">
        <v>8057</v>
      </c>
      <c r="H37">
        <v>2538</v>
      </c>
      <c r="I37" t="s">
        <v>25</v>
      </c>
      <c r="J37">
        <f>_xlfn.XLOOKUP(Fleet_Inventory[[#This Row],[Engine_Type]],Policy_Table[Engine_Type],Policy_Table[Service_Interval_Hours],"Check Engine Type")</f>
        <v>21000</v>
      </c>
      <c r="K37">
        <f>(2026-Fleet_Inventory[[#This Row],[Year_Built]])*2000</f>
        <v>40000</v>
      </c>
      <c r="L37">
        <f>Fleet_Inventory[[#This Row],[Maintenance_Threshold]] - MOD(Fleet_Inventory[[#This Row],[Estimated_Total_Hours]], Fleet_Inventory[[#This Row],[Maintenance_Threshold]])</f>
        <v>2000</v>
      </c>
      <c r="M37">
        <f>INT(Fleet_Inventory[[#This Row],[Estimated_Total_Hours]] / Fleet_Inventory[[#This Row],[Maintenance_Threshold]]) + 1</f>
        <v>2</v>
      </c>
      <c r="N37" t="str" cm="1">
        <f t="array" ref="N37">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37">
        <f>Fleet_Inventory[[#This Row],[Fuel_Burn_L_hr]]/Fleet_Inventory[[#This Row],[Seats]]</f>
        <v>8.7517241379310349</v>
      </c>
      <c r="P37">
        <f>IF(Fleet_Inventory[[#This Row],[Readiness Status]]="Mission Restricted", 1, 0)</f>
        <v>0</v>
      </c>
    </row>
    <row r="38" spans="1:16" x14ac:dyDescent="0.3">
      <c r="A38" t="s">
        <v>9</v>
      </c>
      <c r="B38" t="s">
        <v>54</v>
      </c>
      <c r="C38" t="s">
        <v>71</v>
      </c>
      <c r="D38">
        <v>2020</v>
      </c>
      <c r="E38">
        <v>801</v>
      </c>
      <c r="F38" t="s">
        <v>17</v>
      </c>
      <c r="G38">
        <v>13381</v>
      </c>
      <c r="H38">
        <v>2201</v>
      </c>
      <c r="I38" t="s">
        <v>25</v>
      </c>
      <c r="J38">
        <f>_xlfn.XLOOKUP(Fleet_Inventory[[#This Row],[Engine_Type]],Policy_Table[Engine_Type],Policy_Table[Service_Interval_Hours],"Check Engine Type")</f>
        <v>14000</v>
      </c>
      <c r="K38">
        <f>(2026-Fleet_Inventory[[#This Row],[Year_Built]])*2000</f>
        <v>12000</v>
      </c>
      <c r="L38">
        <f>Fleet_Inventory[[#This Row],[Maintenance_Threshold]] - MOD(Fleet_Inventory[[#This Row],[Estimated_Total_Hours]], Fleet_Inventory[[#This Row],[Maintenance_Threshold]])</f>
        <v>2000</v>
      </c>
      <c r="M38">
        <f>INT(Fleet_Inventory[[#This Row],[Estimated_Total_Hours]] / Fleet_Inventory[[#This Row],[Maintenance_Threshold]]) + 1</f>
        <v>1</v>
      </c>
      <c r="N38" t="str" cm="1">
        <f t="array" ref="N38">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38">
        <f>Fleet_Inventory[[#This Row],[Fuel_Burn_L_hr]]/Fleet_Inventory[[#This Row],[Seats]]</f>
        <v>2.7478152309612982</v>
      </c>
      <c r="P38">
        <f>IF(Fleet_Inventory[[#This Row],[Readiness Status]]="Mission Restricted", 1, 0)</f>
        <v>0</v>
      </c>
    </row>
    <row r="39" spans="1:16" x14ac:dyDescent="0.3">
      <c r="A39" t="s">
        <v>33</v>
      </c>
      <c r="B39" t="s">
        <v>54</v>
      </c>
      <c r="C39" t="s">
        <v>72</v>
      </c>
      <c r="D39">
        <v>2006</v>
      </c>
      <c r="E39">
        <v>486</v>
      </c>
      <c r="F39" t="s">
        <v>32</v>
      </c>
      <c r="G39">
        <v>13259</v>
      </c>
      <c r="H39">
        <v>12891</v>
      </c>
      <c r="I39" t="s">
        <v>25</v>
      </c>
      <c r="J39">
        <f>_xlfn.XLOOKUP(Fleet_Inventory[[#This Row],[Engine_Type]],Policy_Table[Engine_Type],Policy_Table[Service_Interval_Hours],"Check Engine Type")</f>
        <v>17000</v>
      </c>
      <c r="K39">
        <f>(2026-Fleet_Inventory[[#This Row],[Year_Built]])*2000</f>
        <v>40000</v>
      </c>
      <c r="L39">
        <f>Fleet_Inventory[[#This Row],[Maintenance_Threshold]] - MOD(Fleet_Inventory[[#This Row],[Estimated_Total_Hours]], Fleet_Inventory[[#This Row],[Maintenance_Threshold]])</f>
        <v>11000</v>
      </c>
      <c r="M39">
        <f>INT(Fleet_Inventory[[#This Row],[Estimated_Total_Hours]] / Fleet_Inventory[[#This Row],[Maintenance_Threshold]]) + 1</f>
        <v>3</v>
      </c>
      <c r="N39" t="str" cm="1">
        <f t="array" ref="N39">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39">
        <f>Fleet_Inventory[[#This Row],[Fuel_Burn_L_hr]]/Fleet_Inventory[[#This Row],[Seats]]</f>
        <v>26.52469135802469</v>
      </c>
      <c r="P39">
        <f>IF(Fleet_Inventory[[#This Row],[Readiness Status]]="Mission Restricted", 1, 0)</f>
        <v>0</v>
      </c>
    </row>
    <row r="40" spans="1:16" x14ac:dyDescent="0.3">
      <c r="A40" t="s">
        <v>21</v>
      </c>
      <c r="B40" t="s">
        <v>22</v>
      </c>
      <c r="C40" t="s">
        <v>73</v>
      </c>
      <c r="D40">
        <v>2005</v>
      </c>
      <c r="E40">
        <v>850</v>
      </c>
      <c r="F40" t="s">
        <v>35</v>
      </c>
      <c r="G40">
        <v>9129</v>
      </c>
      <c r="H40">
        <v>9197</v>
      </c>
      <c r="I40" t="s">
        <v>37</v>
      </c>
      <c r="J40">
        <f>_xlfn.XLOOKUP(Fleet_Inventory[[#This Row],[Engine_Type]],Policy_Table[Engine_Type],Policy_Table[Service_Interval_Hours],"Check Engine Type")</f>
        <v>12000</v>
      </c>
      <c r="K40">
        <f>(2026-Fleet_Inventory[[#This Row],[Year_Built]])*2000</f>
        <v>42000</v>
      </c>
      <c r="L40">
        <f>Fleet_Inventory[[#This Row],[Maintenance_Threshold]] - MOD(Fleet_Inventory[[#This Row],[Estimated_Total_Hours]], Fleet_Inventory[[#This Row],[Maintenance_Threshold]])</f>
        <v>6000</v>
      </c>
      <c r="M40">
        <f>INT(Fleet_Inventory[[#This Row],[Estimated_Total_Hours]] / Fleet_Inventory[[#This Row],[Maintenance_Threshold]]) + 1</f>
        <v>4</v>
      </c>
      <c r="N40" t="str" cm="1">
        <f t="array" ref="N40">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40">
        <f>Fleet_Inventory[[#This Row],[Fuel_Burn_L_hr]]/Fleet_Inventory[[#This Row],[Seats]]</f>
        <v>10.82</v>
      </c>
      <c r="P40">
        <f>IF(Fleet_Inventory[[#This Row],[Readiness Status]]="Mission Restricted", 1, 0)</f>
        <v>1</v>
      </c>
    </row>
    <row r="41" spans="1:16" x14ac:dyDescent="0.3">
      <c r="A41" t="s">
        <v>14</v>
      </c>
      <c r="B41" t="s">
        <v>22</v>
      </c>
      <c r="C41" t="s">
        <v>74</v>
      </c>
      <c r="D41">
        <v>2005</v>
      </c>
      <c r="E41">
        <v>139</v>
      </c>
      <c r="F41" t="s">
        <v>41</v>
      </c>
      <c r="G41">
        <v>12143</v>
      </c>
      <c r="H41">
        <v>8946</v>
      </c>
      <c r="I41" t="s">
        <v>25</v>
      </c>
      <c r="J41">
        <f>_xlfn.XLOOKUP(Fleet_Inventory[[#This Row],[Engine_Type]],Policy_Table[Engine_Type],Policy_Table[Service_Interval_Hours],"Check Engine Type")</f>
        <v>10000</v>
      </c>
      <c r="K41">
        <f>(2026-Fleet_Inventory[[#This Row],[Year_Built]])*2000</f>
        <v>42000</v>
      </c>
      <c r="L41">
        <f>Fleet_Inventory[[#This Row],[Maintenance_Threshold]] - MOD(Fleet_Inventory[[#This Row],[Estimated_Total_Hours]], Fleet_Inventory[[#This Row],[Maintenance_Threshold]])</f>
        <v>8000</v>
      </c>
      <c r="M41">
        <f>INT(Fleet_Inventory[[#This Row],[Estimated_Total_Hours]] / Fleet_Inventory[[#This Row],[Maintenance_Threshold]]) + 1</f>
        <v>5</v>
      </c>
      <c r="N41" t="str" cm="1">
        <f t="array" ref="N4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Inactive - Asset Review</v>
      </c>
      <c r="O41">
        <f>Fleet_Inventory[[#This Row],[Fuel_Burn_L_hr]]/Fleet_Inventory[[#This Row],[Seats]]</f>
        <v>64.359712230215834</v>
      </c>
      <c r="P41">
        <f>IF(Fleet_Inventory[[#This Row],[Readiness Status]]="Mission Restricted", 1, 0)</f>
        <v>0</v>
      </c>
    </row>
    <row r="42" spans="1:16" x14ac:dyDescent="0.3">
      <c r="A42" t="s">
        <v>9</v>
      </c>
      <c r="B42" t="s">
        <v>15</v>
      </c>
      <c r="C42" t="s">
        <v>75</v>
      </c>
      <c r="D42">
        <v>2004</v>
      </c>
      <c r="E42">
        <v>571</v>
      </c>
      <c r="F42" t="s">
        <v>35</v>
      </c>
      <c r="G42">
        <v>10410</v>
      </c>
      <c r="H42">
        <v>6169</v>
      </c>
      <c r="I42" t="s">
        <v>13</v>
      </c>
      <c r="J42">
        <f>_xlfn.XLOOKUP(Fleet_Inventory[[#This Row],[Engine_Type]],Policy_Table[Engine_Type],Policy_Table[Service_Interval_Hours],"Check Engine Type")</f>
        <v>12000</v>
      </c>
      <c r="K42">
        <f>(2026-Fleet_Inventory[[#This Row],[Year_Built]])*2000</f>
        <v>44000</v>
      </c>
      <c r="L42">
        <f>Fleet_Inventory[[#This Row],[Maintenance_Threshold]] - MOD(Fleet_Inventory[[#This Row],[Estimated_Total_Hours]], Fleet_Inventory[[#This Row],[Maintenance_Threshold]])</f>
        <v>4000</v>
      </c>
      <c r="M42">
        <f>INT(Fleet_Inventory[[#This Row],[Estimated_Total_Hours]] / Fleet_Inventory[[#This Row],[Maintenance_Threshold]]) + 1</f>
        <v>4</v>
      </c>
      <c r="N42" t="str" cm="1">
        <f t="array" ref="N42">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2">
        <f>Fleet_Inventory[[#This Row],[Fuel_Burn_L_hr]]/Fleet_Inventory[[#This Row],[Seats]]</f>
        <v>10.803852889667251</v>
      </c>
      <c r="P42">
        <f>IF(Fleet_Inventory[[#This Row],[Readiness Status]]="Mission Restricted", 1, 0)</f>
        <v>0</v>
      </c>
    </row>
    <row r="43" spans="1:16" x14ac:dyDescent="0.3">
      <c r="A43" t="s">
        <v>26</v>
      </c>
      <c r="B43" t="s">
        <v>54</v>
      </c>
      <c r="C43" t="s">
        <v>76</v>
      </c>
      <c r="D43">
        <v>2004</v>
      </c>
      <c r="E43">
        <v>362</v>
      </c>
      <c r="F43" t="s">
        <v>29</v>
      </c>
      <c r="G43">
        <v>10059</v>
      </c>
      <c r="H43">
        <v>12465</v>
      </c>
      <c r="I43" t="s">
        <v>37</v>
      </c>
      <c r="J43">
        <f>_xlfn.XLOOKUP(Fleet_Inventory[[#This Row],[Engine_Type]],Policy_Table[Engine_Type],Policy_Table[Service_Interval_Hours],"Check Engine Type")</f>
        <v>20000</v>
      </c>
      <c r="K43">
        <f>(2026-Fleet_Inventory[[#This Row],[Year_Built]])*2000</f>
        <v>44000</v>
      </c>
      <c r="L43">
        <f>Fleet_Inventory[[#This Row],[Maintenance_Threshold]] - MOD(Fleet_Inventory[[#This Row],[Estimated_Total_Hours]], Fleet_Inventory[[#This Row],[Maintenance_Threshold]])</f>
        <v>16000</v>
      </c>
      <c r="M43">
        <f>INT(Fleet_Inventory[[#This Row],[Estimated_Total_Hours]] / Fleet_Inventory[[#This Row],[Maintenance_Threshold]]) + 1</f>
        <v>3</v>
      </c>
      <c r="N43" t="str" cm="1">
        <f t="array" ref="N43">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43">
        <f>Fleet_Inventory[[#This Row],[Fuel_Burn_L_hr]]/Fleet_Inventory[[#This Row],[Seats]]</f>
        <v>34.433701657458563</v>
      </c>
      <c r="P43">
        <f>IF(Fleet_Inventory[[#This Row],[Readiness Status]]="Mission Restricted", 1, 0)</f>
        <v>1</v>
      </c>
    </row>
    <row r="44" spans="1:16" x14ac:dyDescent="0.3">
      <c r="A44" t="s">
        <v>14</v>
      </c>
      <c r="B44" t="s">
        <v>10</v>
      </c>
      <c r="C44" t="s">
        <v>77</v>
      </c>
      <c r="D44">
        <v>2013</v>
      </c>
      <c r="E44">
        <v>562</v>
      </c>
      <c r="F44" t="s">
        <v>32</v>
      </c>
      <c r="G44">
        <v>11073</v>
      </c>
      <c r="H44">
        <v>6655</v>
      </c>
      <c r="I44" t="s">
        <v>37</v>
      </c>
      <c r="J44">
        <f>_xlfn.XLOOKUP(Fleet_Inventory[[#This Row],[Engine_Type]],Policy_Table[Engine_Type],Policy_Table[Service_Interval_Hours],"Check Engine Type")</f>
        <v>17000</v>
      </c>
      <c r="K44">
        <f>(2026-Fleet_Inventory[[#This Row],[Year_Built]])*2000</f>
        <v>26000</v>
      </c>
      <c r="L44">
        <f>Fleet_Inventory[[#This Row],[Maintenance_Threshold]] - MOD(Fleet_Inventory[[#This Row],[Estimated_Total_Hours]], Fleet_Inventory[[#This Row],[Maintenance_Threshold]])</f>
        <v>8000</v>
      </c>
      <c r="M44">
        <f>INT(Fleet_Inventory[[#This Row],[Estimated_Total_Hours]] / Fleet_Inventory[[#This Row],[Maintenance_Threshold]]) + 1</f>
        <v>2</v>
      </c>
      <c r="N44" t="str" cm="1">
        <f t="array" ref="N44">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44">
        <f>Fleet_Inventory[[#This Row],[Fuel_Burn_L_hr]]/Fleet_Inventory[[#This Row],[Seats]]</f>
        <v>11.841637010676157</v>
      </c>
      <c r="P44">
        <f>IF(Fleet_Inventory[[#This Row],[Readiness Status]]="Mission Restricted", 1, 0)</f>
        <v>1</v>
      </c>
    </row>
    <row r="45" spans="1:16" x14ac:dyDescent="0.3">
      <c r="A45" t="s">
        <v>9</v>
      </c>
      <c r="B45" t="s">
        <v>19</v>
      </c>
      <c r="C45" t="s">
        <v>78</v>
      </c>
      <c r="D45">
        <v>2000</v>
      </c>
      <c r="E45">
        <v>274</v>
      </c>
      <c r="F45" t="s">
        <v>35</v>
      </c>
      <c r="G45">
        <v>8207</v>
      </c>
      <c r="H45">
        <v>5502</v>
      </c>
      <c r="I45" t="s">
        <v>13</v>
      </c>
      <c r="J45">
        <f>_xlfn.XLOOKUP(Fleet_Inventory[[#This Row],[Engine_Type]],Policy_Table[Engine_Type],Policy_Table[Service_Interval_Hours],"Check Engine Type")</f>
        <v>12000</v>
      </c>
      <c r="K45">
        <f>(2026-Fleet_Inventory[[#This Row],[Year_Built]])*2000</f>
        <v>52000</v>
      </c>
      <c r="L45">
        <f>Fleet_Inventory[[#This Row],[Maintenance_Threshold]] - MOD(Fleet_Inventory[[#This Row],[Estimated_Total_Hours]], Fleet_Inventory[[#This Row],[Maintenance_Threshold]])</f>
        <v>8000</v>
      </c>
      <c r="M45">
        <f>INT(Fleet_Inventory[[#This Row],[Estimated_Total_Hours]] / Fleet_Inventory[[#This Row],[Maintenance_Threshold]]) + 1</f>
        <v>5</v>
      </c>
      <c r="N45" t="str" cm="1">
        <f t="array" ref="N45">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5">
        <f>Fleet_Inventory[[#This Row],[Fuel_Burn_L_hr]]/Fleet_Inventory[[#This Row],[Seats]]</f>
        <v>20.080291970802918</v>
      </c>
      <c r="P45">
        <f>IF(Fleet_Inventory[[#This Row],[Readiness Status]]="Mission Restricted", 1, 0)</f>
        <v>0</v>
      </c>
    </row>
    <row r="46" spans="1:16" x14ac:dyDescent="0.3">
      <c r="A46" t="s">
        <v>9</v>
      </c>
      <c r="B46" t="s">
        <v>44</v>
      </c>
      <c r="C46" t="s">
        <v>79</v>
      </c>
      <c r="D46">
        <v>2020</v>
      </c>
      <c r="E46">
        <v>734</v>
      </c>
      <c r="F46" t="s">
        <v>12</v>
      </c>
      <c r="G46">
        <v>10651</v>
      </c>
      <c r="H46">
        <v>8045</v>
      </c>
      <c r="I46" t="s">
        <v>13</v>
      </c>
      <c r="J46">
        <f>_xlfn.XLOOKUP(Fleet_Inventory[[#This Row],[Engine_Type]],Policy_Table[Engine_Type],Policy_Table[Service_Interval_Hours],"Check Engine Type")</f>
        <v>21000</v>
      </c>
      <c r="K46">
        <f>(2026-Fleet_Inventory[[#This Row],[Year_Built]])*2000</f>
        <v>12000</v>
      </c>
      <c r="L46">
        <f>Fleet_Inventory[[#This Row],[Maintenance_Threshold]] - MOD(Fleet_Inventory[[#This Row],[Estimated_Total_Hours]], Fleet_Inventory[[#This Row],[Maintenance_Threshold]])</f>
        <v>9000</v>
      </c>
      <c r="M46">
        <f>INT(Fleet_Inventory[[#This Row],[Estimated_Total_Hours]] / Fleet_Inventory[[#This Row],[Maintenance_Threshold]]) + 1</f>
        <v>1</v>
      </c>
      <c r="N46" t="str" cm="1">
        <f t="array" ref="N46">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6">
        <f>Fleet_Inventory[[#This Row],[Fuel_Burn_L_hr]]/Fleet_Inventory[[#This Row],[Seats]]</f>
        <v>10.960490463215258</v>
      </c>
      <c r="P46">
        <f>IF(Fleet_Inventory[[#This Row],[Readiness Status]]="Mission Restricted", 1, 0)</f>
        <v>0</v>
      </c>
    </row>
    <row r="47" spans="1:16" x14ac:dyDescent="0.3">
      <c r="A47" t="s">
        <v>14</v>
      </c>
      <c r="B47" t="s">
        <v>10</v>
      </c>
      <c r="C47" t="s">
        <v>80</v>
      </c>
      <c r="D47">
        <v>2013</v>
      </c>
      <c r="E47">
        <v>647</v>
      </c>
      <c r="F47" t="s">
        <v>12</v>
      </c>
      <c r="G47">
        <v>6482</v>
      </c>
      <c r="H47">
        <v>5690</v>
      </c>
      <c r="I47" t="s">
        <v>37</v>
      </c>
      <c r="J47">
        <f>_xlfn.XLOOKUP(Fleet_Inventory[[#This Row],[Engine_Type]],Policy_Table[Engine_Type],Policy_Table[Service_Interval_Hours],"Check Engine Type")</f>
        <v>21000</v>
      </c>
      <c r="K47">
        <f>(2026-Fleet_Inventory[[#This Row],[Year_Built]])*2000</f>
        <v>26000</v>
      </c>
      <c r="L47">
        <f>Fleet_Inventory[[#This Row],[Maintenance_Threshold]] - MOD(Fleet_Inventory[[#This Row],[Estimated_Total_Hours]], Fleet_Inventory[[#This Row],[Maintenance_Threshold]])</f>
        <v>16000</v>
      </c>
      <c r="M47">
        <f>INT(Fleet_Inventory[[#This Row],[Estimated_Total_Hours]] / Fleet_Inventory[[#This Row],[Maintenance_Threshold]]) + 1</f>
        <v>2</v>
      </c>
      <c r="N47" t="str" cm="1">
        <f t="array" ref="N47">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47">
        <f>Fleet_Inventory[[#This Row],[Fuel_Burn_L_hr]]/Fleet_Inventory[[#This Row],[Seats]]</f>
        <v>8.7944358578052544</v>
      </c>
      <c r="P47">
        <f>IF(Fleet_Inventory[[#This Row],[Readiness Status]]="Mission Restricted", 1, 0)</f>
        <v>1</v>
      </c>
    </row>
    <row r="48" spans="1:16" x14ac:dyDescent="0.3">
      <c r="A48" t="s">
        <v>38</v>
      </c>
      <c r="B48" t="s">
        <v>22</v>
      </c>
      <c r="C48" t="s">
        <v>81</v>
      </c>
      <c r="D48">
        <v>2015</v>
      </c>
      <c r="E48">
        <v>790</v>
      </c>
      <c r="F48" t="s">
        <v>12</v>
      </c>
      <c r="G48">
        <v>10023</v>
      </c>
      <c r="H48">
        <v>13857</v>
      </c>
      <c r="I48" t="s">
        <v>13</v>
      </c>
      <c r="J48">
        <f>_xlfn.XLOOKUP(Fleet_Inventory[[#This Row],[Engine_Type]],Policy_Table[Engine_Type],Policy_Table[Service_Interval_Hours],"Check Engine Type")</f>
        <v>21000</v>
      </c>
      <c r="K48">
        <f>(2026-Fleet_Inventory[[#This Row],[Year_Built]])*2000</f>
        <v>22000</v>
      </c>
      <c r="L48">
        <f>Fleet_Inventory[[#This Row],[Maintenance_Threshold]] - MOD(Fleet_Inventory[[#This Row],[Estimated_Total_Hours]], Fleet_Inventory[[#This Row],[Maintenance_Threshold]])</f>
        <v>20000</v>
      </c>
      <c r="M48">
        <f>INT(Fleet_Inventory[[#This Row],[Estimated_Total_Hours]] / Fleet_Inventory[[#This Row],[Maintenance_Threshold]]) + 1</f>
        <v>2</v>
      </c>
      <c r="N48" t="str" cm="1">
        <f t="array" ref="N48">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8">
        <f>Fleet_Inventory[[#This Row],[Fuel_Burn_L_hr]]/Fleet_Inventory[[#This Row],[Seats]]</f>
        <v>17.540506329113924</v>
      </c>
      <c r="P48">
        <f>IF(Fleet_Inventory[[#This Row],[Readiness Status]]="Mission Restricted", 1, 0)</f>
        <v>0</v>
      </c>
    </row>
    <row r="49" spans="1:16" x14ac:dyDescent="0.3">
      <c r="A49" t="s">
        <v>38</v>
      </c>
      <c r="B49" t="s">
        <v>27</v>
      </c>
      <c r="C49" t="s">
        <v>82</v>
      </c>
      <c r="D49">
        <v>1995</v>
      </c>
      <c r="E49">
        <v>614</v>
      </c>
      <c r="F49" t="s">
        <v>17</v>
      </c>
      <c r="G49">
        <v>11813</v>
      </c>
      <c r="H49">
        <v>13696</v>
      </c>
      <c r="I49" t="s">
        <v>13</v>
      </c>
      <c r="J49">
        <f>_xlfn.XLOOKUP(Fleet_Inventory[[#This Row],[Engine_Type]],Policy_Table[Engine_Type],Policy_Table[Service_Interval_Hours],"Check Engine Type")</f>
        <v>14000</v>
      </c>
      <c r="K49">
        <f>(2026-Fleet_Inventory[[#This Row],[Year_Built]])*2000</f>
        <v>62000</v>
      </c>
      <c r="L49">
        <f>Fleet_Inventory[[#This Row],[Maintenance_Threshold]] - MOD(Fleet_Inventory[[#This Row],[Estimated_Total_Hours]], Fleet_Inventory[[#This Row],[Maintenance_Threshold]])</f>
        <v>8000</v>
      </c>
      <c r="M49">
        <f>INT(Fleet_Inventory[[#This Row],[Estimated_Total_Hours]] / Fleet_Inventory[[#This Row],[Maintenance_Threshold]]) + 1</f>
        <v>5</v>
      </c>
      <c r="N49" t="str" cm="1">
        <f t="array" ref="N49">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49">
        <f>Fleet_Inventory[[#This Row],[Fuel_Burn_L_hr]]/Fleet_Inventory[[#This Row],[Seats]]</f>
        <v>22.306188925081432</v>
      </c>
      <c r="P49">
        <f>IF(Fleet_Inventory[[#This Row],[Readiness Status]]="Mission Restricted", 1, 0)</f>
        <v>0</v>
      </c>
    </row>
    <row r="50" spans="1:16" x14ac:dyDescent="0.3">
      <c r="A50" t="s">
        <v>9</v>
      </c>
      <c r="B50" t="s">
        <v>19</v>
      </c>
      <c r="C50" t="s">
        <v>83</v>
      </c>
      <c r="D50">
        <v>1998</v>
      </c>
      <c r="E50">
        <v>749</v>
      </c>
      <c r="F50" t="s">
        <v>41</v>
      </c>
      <c r="G50">
        <v>6211</v>
      </c>
      <c r="H50">
        <v>10545</v>
      </c>
      <c r="I50" t="s">
        <v>37</v>
      </c>
      <c r="J50">
        <f>_xlfn.XLOOKUP(Fleet_Inventory[[#This Row],[Engine_Type]],Policy_Table[Engine_Type],Policy_Table[Service_Interval_Hours],"Check Engine Type")</f>
        <v>10000</v>
      </c>
      <c r="K50">
        <f>(2026-Fleet_Inventory[[#This Row],[Year_Built]])*2000</f>
        <v>56000</v>
      </c>
      <c r="L50">
        <f>Fleet_Inventory[[#This Row],[Maintenance_Threshold]] - MOD(Fleet_Inventory[[#This Row],[Estimated_Total_Hours]], Fleet_Inventory[[#This Row],[Maintenance_Threshold]])</f>
        <v>4000</v>
      </c>
      <c r="M50">
        <f>INT(Fleet_Inventory[[#This Row],[Estimated_Total_Hours]] / Fleet_Inventory[[#This Row],[Maintenance_Threshold]]) + 1</f>
        <v>6</v>
      </c>
      <c r="N50" t="str" cm="1">
        <f t="array" ref="N50">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Mission Restricted</v>
      </c>
      <c r="O50">
        <f>Fleet_Inventory[[#This Row],[Fuel_Burn_L_hr]]/Fleet_Inventory[[#This Row],[Seats]]</f>
        <v>14.078771695594126</v>
      </c>
      <c r="P50">
        <f>IF(Fleet_Inventory[[#This Row],[Readiness Status]]="Mission Restricted", 1, 0)</f>
        <v>1</v>
      </c>
    </row>
    <row r="51" spans="1:16" x14ac:dyDescent="0.3">
      <c r="A51" t="s">
        <v>30</v>
      </c>
      <c r="B51" t="s">
        <v>54</v>
      </c>
      <c r="C51" t="s">
        <v>84</v>
      </c>
      <c r="D51">
        <v>1998</v>
      </c>
      <c r="E51">
        <v>139</v>
      </c>
      <c r="F51" t="s">
        <v>41</v>
      </c>
      <c r="G51">
        <v>7328</v>
      </c>
      <c r="H51">
        <v>4893</v>
      </c>
      <c r="I51" t="s">
        <v>13</v>
      </c>
      <c r="J51">
        <f>_xlfn.XLOOKUP(Fleet_Inventory[[#This Row],[Engine_Type]],Policy_Table[Engine_Type],Policy_Table[Service_Interval_Hours],"Check Engine Type")</f>
        <v>10000</v>
      </c>
      <c r="K51">
        <f>(2026-Fleet_Inventory[[#This Row],[Year_Built]])*2000</f>
        <v>56000</v>
      </c>
      <c r="L51">
        <f>Fleet_Inventory[[#This Row],[Maintenance_Threshold]] - MOD(Fleet_Inventory[[#This Row],[Estimated_Total_Hours]], Fleet_Inventory[[#This Row],[Maintenance_Threshold]])</f>
        <v>4000</v>
      </c>
      <c r="M51">
        <f>INT(Fleet_Inventory[[#This Row],[Estimated_Total_Hours]] / Fleet_Inventory[[#This Row],[Maintenance_Threshold]]) + 1</f>
        <v>6</v>
      </c>
      <c r="N51" t="str" cm="1">
        <f t="array" ref="N51">_xlfn.IFS(
  Fleet_Inventory[[#This Row],[Status]]="Retired", "Inactive - Asset Review",
  Fleet_Inventory[[#This Row],[Status]]="Under Maintenance", "Mission Restricted",
  Fleet_Inventory[[#This Row],[Service_Interval_Remaining]]&lt;=0, "AOG - Overdue for Service",
  Fleet_Inventory[[#This Row],[Service_Interval_Remaining]]&lt;=500, "Priority Schedule (Near Limit)",
  Fleet_Inventory[[#This Row],[Status]]="Active", "Fully Mission Capable",
  TRUE, "Status Pending"
)</f>
        <v>Fully Mission Capable</v>
      </c>
      <c r="O51">
        <f>Fleet_Inventory[[#This Row],[Fuel_Burn_L_hr]]/Fleet_Inventory[[#This Row],[Seats]]</f>
        <v>35.201438848920866</v>
      </c>
      <c r="P51">
        <f>IF(Fleet_Inventory[[#This Row],[Readiness Status]]="Mission Restricted", 1, 0)</f>
        <v>0</v>
      </c>
    </row>
  </sheetData>
  <conditionalFormatting sqref="L52:M1048576">
    <cfRule type="containsText" dxfId="13" priority="6" operator="containsText" text="Pending Tech Review">
      <formula>NOT(ISERROR(SEARCH("Pending Tech Review",L52)))</formula>
    </cfRule>
    <cfRule type="containsText" dxfId="12" priority="8" operator="containsText" text="Fully Operational">
      <formula>NOT(ISERROR(SEARCH("Fully Operational",L52)))</formula>
    </cfRule>
    <cfRule type="containsText" dxfId="11" priority="9" operator="containsText" text="TBD - Asset Review ">
      <formula>NOT(ISERROR(SEARCH("TBD - Asset Review ",L52)))</formula>
    </cfRule>
    <cfRule type="containsText" dxfId="10" priority="10" operator="containsText" text="Pending Tech Review">
      <formula>NOT(ISERROR(SEARCH("Pending Tech Review",L52)))</formula>
    </cfRule>
    <cfRule type="containsText" dxfId="9" priority="11" operator="containsText" text="Restricted">
      <formula>NOT(ISERROR(SEARCH("Restricted",L52)))</formula>
    </cfRule>
    <cfRule type="containsText" dxfId="8" priority="12" operator="containsText" text="Tactical Standby">
      <formula>NOT(ISERROR(SEARCH("Tactical Standby",L52)))</formula>
    </cfRule>
    <cfRule type="containsText" dxfId="7" priority="13" operator="containsText" text="Fully Operational">
      <formula>NOT(ISERROR(SEARCH("Fully Operational",L52)))</formula>
    </cfRule>
    <cfRule type="containsText" dxfId="6" priority="15" operator="containsText" text="Fully Operational">
      <formula>NOT(ISERROR(SEARCH("Fully Operational",L52)))</formula>
    </cfRule>
  </conditionalFormatting>
  <conditionalFormatting sqref="N1:N1048576">
    <cfRule type="containsText" dxfId="5" priority="1" operator="containsText" text="Status Pending">
      <formula>NOT(ISERROR(SEARCH("Status Pending",N1)))</formula>
    </cfRule>
    <cfRule type="containsText" dxfId="4" priority="2" operator="containsText" text="Inactive - Asset Review">
      <formula>NOT(ISERROR(SEARCH("Inactive - Asset Review",N1)))</formula>
    </cfRule>
    <cfRule type="containsText" dxfId="3" priority="3" operator="containsText" text="Mission Restricted">
      <formula>NOT(ISERROR(SEARCH("Mission Restricted",N1)))</formula>
    </cfRule>
    <cfRule type="containsText" dxfId="2" priority="4" operator="containsText" text="Priority Schedule">
      <formula>NOT(ISERROR(SEARCH("Priority Schedule",N1)))</formula>
    </cfRule>
    <cfRule type="containsText" dxfId="1" priority="5" operator="containsText" text="Fully Mission Capable">
      <formula>NOT(ISERROR(SEARCH("Fully Mission Capable",N1)))</formula>
    </cfRule>
  </conditionalFormatting>
  <conditionalFormatting sqref="O12">
    <cfRule type="containsText" dxfId="0" priority="7" operator="containsText" text="Pending Tech Review">
      <formula>NOT(ISERROR(SEARCH("Pending Tech Review",O12)))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353E-A76F-43C7-8AEB-0096114726A2}">
  <dimension ref="A1:R16"/>
  <sheetViews>
    <sheetView zoomScaleNormal="100" workbookViewId="0">
      <selection activeCell="A4" sqref="A4"/>
    </sheetView>
  </sheetViews>
  <sheetFormatPr defaultRowHeight="14.4" x14ac:dyDescent="0.3"/>
  <cols>
    <col min="1" max="2" width="21.88671875" customWidth="1"/>
    <col min="3" max="3" width="8.6640625" customWidth="1"/>
    <col min="4" max="4" width="19.21875" bestFit="1" customWidth="1"/>
    <col min="5" max="5" width="20.88671875" bestFit="1" customWidth="1"/>
    <col min="6" max="6" width="7.44140625" customWidth="1"/>
    <col min="7" max="7" width="15.6640625" bestFit="1" customWidth="1"/>
    <col min="8" max="8" width="20.77734375" bestFit="1" customWidth="1"/>
    <col min="10" max="10" width="15.44140625" bestFit="1" customWidth="1"/>
    <col min="11" max="11" width="30.44140625" bestFit="1" customWidth="1"/>
    <col min="13" max="13" width="19.21875" bestFit="1" customWidth="1"/>
    <col min="14" max="14" width="11.6640625" bestFit="1" customWidth="1"/>
    <col min="15" max="15" width="23.109375" bestFit="1" customWidth="1"/>
    <col min="16" max="16" width="16" bestFit="1" customWidth="1"/>
    <col min="17" max="17" width="20.88671875" bestFit="1" customWidth="1"/>
    <col min="18" max="18" width="33.21875" bestFit="1" customWidth="1"/>
  </cols>
  <sheetData>
    <row r="1" spans="1:18" x14ac:dyDescent="0.3">
      <c r="A1" t="s">
        <v>5</v>
      </c>
      <c r="B1" t="s">
        <v>85</v>
      </c>
    </row>
    <row r="2" spans="1:18" x14ac:dyDescent="0.3">
      <c r="A2" t="s">
        <v>32</v>
      </c>
      <c r="B2">
        <v>17000</v>
      </c>
      <c r="D2" s="8" t="s">
        <v>96</v>
      </c>
      <c r="E2" t="s">
        <v>99</v>
      </c>
      <c r="J2" s="8" t="s">
        <v>102</v>
      </c>
      <c r="K2" t="s">
        <v>101</v>
      </c>
    </row>
    <row r="3" spans="1:18" x14ac:dyDescent="0.3">
      <c r="A3" t="s">
        <v>24</v>
      </c>
      <c r="B3">
        <v>12000</v>
      </c>
      <c r="D3" s="9" t="s">
        <v>89</v>
      </c>
      <c r="E3" s="12">
        <v>22</v>
      </c>
      <c r="J3" s="9" t="s">
        <v>69</v>
      </c>
      <c r="K3" s="12">
        <v>4000</v>
      </c>
      <c r="M3" s="8" t="s">
        <v>96</v>
      </c>
      <c r="N3" t="s">
        <v>104</v>
      </c>
      <c r="O3" t="s">
        <v>105</v>
      </c>
      <c r="P3" t="s">
        <v>109</v>
      </c>
      <c r="Q3" t="s">
        <v>99</v>
      </c>
      <c r="R3" t="s">
        <v>106</v>
      </c>
    </row>
    <row r="4" spans="1:18" x14ac:dyDescent="0.3">
      <c r="A4" t="s">
        <v>29</v>
      </c>
      <c r="B4">
        <v>20000</v>
      </c>
      <c r="D4" s="9" t="s">
        <v>90</v>
      </c>
      <c r="E4" s="12">
        <v>12</v>
      </c>
      <c r="G4" s="8" t="s">
        <v>98</v>
      </c>
      <c r="H4" t="s">
        <v>97</v>
      </c>
      <c r="J4" s="9" t="s">
        <v>84</v>
      </c>
      <c r="K4" s="12">
        <v>4000</v>
      </c>
      <c r="M4" s="9" t="s">
        <v>89</v>
      </c>
      <c r="N4" s="12">
        <v>10005</v>
      </c>
      <c r="O4" s="12">
        <v>22</v>
      </c>
      <c r="P4" s="12">
        <v>0</v>
      </c>
      <c r="Q4" s="12">
        <v>22</v>
      </c>
      <c r="R4" s="12">
        <v>10363.636363636364</v>
      </c>
    </row>
    <row r="5" spans="1:18" x14ac:dyDescent="0.3">
      <c r="A5" t="s">
        <v>41</v>
      </c>
      <c r="B5">
        <v>10000</v>
      </c>
      <c r="D5" s="9" t="s">
        <v>91</v>
      </c>
      <c r="E5" s="12">
        <v>16</v>
      </c>
      <c r="G5" s="9" t="s">
        <v>10</v>
      </c>
      <c r="H5" s="10">
        <v>13.261507977169606</v>
      </c>
      <c r="J5" s="9" t="s">
        <v>62</v>
      </c>
      <c r="K5" s="12">
        <v>4000</v>
      </c>
      <c r="M5" s="9" t="s">
        <v>90</v>
      </c>
      <c r="N5" s="12">
        <v>5976</v>
      </c>
      <c r="O5" s="12">
        <v>12</v>
      </c>
      <c r="P5" s="12">
        <v>0</v>
      </c>
      <c r="Q5" s="12">
        <v>12</v>
      </c>
      <c r="R5" s="12">
        <v>7833.333333333333</v>
      </c>
    </row>
    <row r="6" spans="1:18" x14ac:dyDescent="0.3">
      <c r="A6" t="s">
        <v>17</v>
      </c>
      <c r="B6">
        <v>14000</v>
      </c>
      <c r="D6" s="9" t="s">
        <v>92</v>
      </c>
      <c r="E6" s="12">
        <v>50</v>
      </c>
      <c r="G6" s="9" t="s">
        <v>44</v>
      </c>
      <c r="H6" s="10">
        <v>16.376878071005589</v>
      </c>
      <c r="J6" s="9" t="s">
        <v>61</v>
      </c>
      <c r="K6" s="12">
        <v>4000</v>
      </c>
      <c r="M6" s="9" t="s">
        <v>91</v>
      </c>
      <c r="N6" s="12">
        <v>7839</v>
      </c>
      <c r="O6" s="12">
        <v>16</v>
      </c>
      <c r="P6" s="12">
        <v>16</v>
      </c>
      <c r="Q6" s="12">
        <v>16</v>
      </c>
      <c r="R6" s="12">
        <v>8312.5</v>
      </c>
    </row>
    <row r="7" spans="1:18" x14ac:dyDescent="0.3">
      <c r="A7" t="s">
        <v>35</v>
      </c>
      <c r="B7">
        <v>12000</v>
      </c>
      <c r="G7" s="9" t="s">
        <v>27</v>
      </c>
      <c r="H7" s="10">
        <v>16.981246331370723</v>
      </c>
      <c r="J7" s="9" t="s">
        <v>83</v>
      </c>
      <c r="K7" s="12">
        <v>4000</v>
      </c>
      <c r="M7" s="9" t="s">
        <v>92</v>
      </c>
      <c r="N7" s="12">
        <v>23820</v>
      </c>
      <c r="O7" s="12">
        <v>50</v>
      </c>
      <c r="P7" s="12">
        <v>16</v>
      </c>
      <c r="Q7" s="12">
        <v>50</v>
      </c>
      <c r="R7" s="12">
        <v>9100</v>
      </c>
    </row>
    <row r="8" spans="1:18" x14ac:dyDescent="0.3">
      <c r="A8" t="s">
        <v>12</v>
      </c>
      <c r="B8">
        <v>21000</v>
      </c>
      <c r="G8" s="9" t="s">
        <v>22</v>
      </c>
      <c r="H8" s="10">
        <v>24.688894244263594</v>
      </c>
      <c r="J8" s="9" t="s">
        <v>75</v>
      </c>
      <c r="K8" s="12">
        <v>4000</v>
      </c>
    </row>
    <row r="9" spans="1:18" x14ac:dyDescent="0.3">
      <c r="G9" s="9" t="s">
        <v>54</v>
      </c>
      <c r="H9" s="10">
        <v>30.052575694192488</v>
      </c>
      <c r="J9" s="9" t="s">
        <v>63</v>
      </c>
      <c r="K9" s="12">
        <v>4000</v>
      </c>
    </row>
    <row r="10" spans="1:18" x14ac:dyDescent="0.3">
      <c r="G10" s="9" t="s">
        <v>46</v>
      </c>
      <c r="H10" s="10">
        <v>31.581186606767456</v>
      </c>
      <c r="J10" s="9" t="s">
        <v>51</v>
      </c>
      <c r="K10" s="12">
        <v>2000</v>
      </c>
    </row>
    <row r="11" spans="1:18" x14ac:dyDescent="0.3">
      <c r="G11" s="9" t="s">
        <v>19</v>
      </c>
      <c r="H11" s="10">
        <v>32.761993875300085</v>
      </c>
      <c r="J11" s="9" t="s">
        <v>70</v>
      </c>
      <c r="K11" s="12">
        <v>2000</v>
      </c>
    </row>
    <row r="12" spans="1:18" x14ac:dyDescent="0.3">
      <c r="G12" s="9" t="s">
        <v>15</v>
      </c>
      <c r="H12" s="10">
        <v>36.430277118626492</v>
      </c>
      <c r="J12" s="9" t="s">
        <v>64</v>
      </c>
      <c r="K12" s="12">
        <v>2000</v>
      </c>
    </row>
    <row r="13" spans="1:18" x14ac:dyDescent="0.3">
      <c r="G13" s="9" t="s">
        <v>92</v>
      </c>
      <c r="H13" s="10">
        <v>25.549417651746971</v>
      </c>
      <c r="J13" s="9" t="s">
        <v>36</v>
      </c>
      <c r="K13" s="12">
        <v>2000</v>
      </c>
    </row>
    <row r="14" spans="1:18" x14ac:dyDescent="0.3">
      <c r="J14" s="9" t="s">
        <v>39</v>
      </c>
      <c r="K14" s="12">
        <v>2000</v>
      </c>
    </row>
    <row r="15" spans="1:18" x14ac:dyDescent="0.3">
      <c r="J15" s="9" t="s">
        <v>71</v>
      </c>
      <c r="K15" s="12">
        <v>2000</v>
      </c>
    </row>
    <row r="16" spans="1:18" x14ac:dyDescent="0.3">
      <c r="J16" s="9" t="s">
        <v>92</v>
      </c>
      <c r="K16" s="12">
        <v>40000</v>
      </c>
    </row>
  </sheetData>
  <pageMargins left="0.7" right="0.7" top="0.75" bottom="0.75" header="0.3" footer="0.3"/>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B410-0ABA-433E-A295-AF32D5A56F32}">
  <dimension ref="C1:F25"/>
  <sheetViews>
    <sheetView showGridLines="0" showRowColHeaders="0" tabSelected="1" zoomScaleNormal="100" workbookViewId="0">
      <selection activeCell="D32" sqref="D32"/>
    </sheetView>
  </sheetViews>
  <sheetFormatPr defaultRowHeight="14.4" x14ac:dyDescent="0.3"/>
  <cols>
    <col min="1" max="1" width="19.6640625" bestFit="1" customWidth="1"/>
    <col min="2" max="2" width="24.5546875" customWidth="1"/>
    <col min="3" max="3" width="40.109375" customWidth="1"/>
    <col min="4" max="4" width="37.77734375" customWidth="1"/>
    <col min="5" max="5" width="40.109375" customWidth="1"/>
    <col min="6" max="6" width="47.77734375" customWidth="1"/>
    <col min="7" max="7" width="36.6640625" customWidth="1"/>
  </cols>
  <sheetData>
    <row r="1" spans="3:6" x14ac:dyDescent="0.3">
      <c r="C1" s="2" t="s">
        <v>94</v>
      </c>
      <c r="D1" s="2" t="s">
        <v>93</v>
      </c>
      <c r="E1" s="2" t="s">
        <v>107</v>
      </c>
      <c r="F1" s="2" t="s">
        <v>103</v>
      </c>
    </row>
    <row r="2" spans="3:6" ht="25.8" x14ac:dyDescent="0.3">
      <c r="C2" s="1">
        <f>GETPIVOTDATA("Sum of Seats",Calc!$M$3)</f>
        <v>23820</v>
      </c>
      <c r="D2" s="3">
        <f>IFERROR(GETPIVOTDATA("Registration_ID", Calc!$O$3, "Readiness_Status", "Fully Mission Capable") / GETPIVOTDATA("Registration_ID", Calc!$O$3), 0)</f>
        <v>0.44</v>
      </c>
      <c r="E2" s="11">
        <f>GETPIVOTDATA("Average of Service_Interval_Remaining",Calc!$M$3)</f>
        <v>9100</v>
      </c>
      <c r="F2" s="1">
        <f>GETPIVOTDATA("Sum of Maint_Flag",Calc!$M$3)</f>
        <v>16</v>
      </c>
    </row>
    <row r="4" spans="3:6" x14ac:dyDescent="0.3">
      <c r="E4" s="5"/>
    </row>
    <row r="5" spans="3:6" x14ac:dyDescent="0.3">
      <c r="E5" s="4"/>
    </row>
    <row r="25" spans="4:5" x14ac:dyDescent="0.3">
      <c r="D25" s="7"/>
      <c r="E2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4CD45E-C060-4273-ABC1-F4CBDA60A7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Fleet_Inventory</vt:lpstr>
      <vt:lpstr>Calc</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Konikkara</dc:creator>
  <cp:lastModifiedBy>Gloria Konikkara</cp:lastModifiedBy>
  <dcterms:created xsi:type="dcterms:W3CDTF">2026-03-16T21:12:44Z</dcterms:created>
  <dcterms:modified xsi:type="dcterms:W3CDTF">2026-04-25T16:57:30Z</dcterms:modified>
</cp:coreProperties>
</file>